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BE_Q1_2026_M1" sheetId="1" state="visible" r:id="rId1"/>
    <sheet xmlns:r="http://schemas.openxmlformats.org/officeDocument/2006/relationships" name="Basis" sheetId="2" state="visible" r:id="rId2"/>
    <sheet xmlns:r="http://schemas.openxmlformats.org/officeDocument/2006/relationships" name="By month" sheetId="3" state="visible" r:id="rId3"/>
  </sheets>
  <definedNames>
    <definedName name="_xlnm._FilterDatabase" localSheetId="2" hidden="1">'By month'!$A$4:$J$160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;(0.0%);&quot;-&quot;"/>
    <numFmt numFmtId="166" formatCode="+0.0&quot; pts&quot;;-0.0&quot; pts&quot;;&quot;-&quot;"/>
  </numFmts>
  <fonts count="11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595959"/>
      <sz val="10"/>
    </font>
    <font>
      <i val="1"/>
      <color rgb="00808080"/>
      <sz val="9"/>
    </font>
    <font>
      <b val="1"/>
      <color rgb="00FFFFFF"/>
      <sz val="10"/>
    </font>
    <font>
      <b val="1"/>
      <sz val="10"/>
    </font>
    <font>
      <sz val="10"/>
    </font>
    <font>
      <color rgb="00595959"/>
      <sz val="9"/>
    </font>
    <font>
      <i val="1"/>
      <color rgb="00595959"/>
      <sz val="9"/>
    </font>
    <font>
      <b val="1"/>
      <color rgb="001F3864"/>
      <sz val="13"/>
    </font>
    <font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B4C6E7"/>
      </patternFill>
    </fill>
  </fills>
  <borders count="2">
    <border>
      <left/>
      <right/>
      <top/>
      <bottom/>
      <diagonal/>
    </border>
    <border>
      <top style="thin">
        <color rgb="001F3864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pivotButton="0" quotePrefix="0" xfId="0"/>
    <xf numFmtId="0" fontId="6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5" fillId="5" borderId="0" pivotButton="0" quotePrefix="0" xfId="0"/>
    <xf numFmtId="0" fontId="0" fillId="5" borderId="0" pivotButton="0" quotePrefix="0" xfId="0"/>
    <xf numFmtId="164" fontId="5" fillId="5" borderId="0" pivotButton="0" quotePrefix="0" xfId="0"/>
    <xf numFmtId="165" fontId="5" fillId="5" borderId="0" pivotButton="0" quotePrefix="0" xfId="0"/>
    <xf numFmtId="0" fontId="8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0" fontId="7" fillId="0" borderId="0" pivotButton="0" quotePrefix="0" xfId="0"/>
    <xf numFmtId="0" fontId="0" fillId="4" borderId="0" pivotButton="0" quotePrefix="0" xfId="0"/>
    <xf numFmtId="0" fontId="4" fillId="3" borderId="0" pivotButton="0" quotePrefix="0" xfId="0"/>
    <xf numFmtId="0" fontId="9" fillId="0" borderId="0" pivotButton="0" quotePrefix="0" xfId="0"/>
    <xf numFmtId="0" fontId="6" fillId="0" borderId="0" applyAlignment="1" pivotButton="0" quotePrefix="0" xfId="0">
      <alignment vertical="top" wrapText="1"/>
    </xf>
    <xf numFmtId="0" fontId="5" fillId="0" borderId="0" pivotButton="0" quotePrefix="0" xfId="0"/>
    <xf numFmtId="0" fontId="10" fillId="0" borderId="0" pivotButton="0" quotePrefix="0" xfId="0"/>
    <xf numFmtId="164" fontId="6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0" customWidth="1" min="2" max="2"/>
    <col width="14" customWidth="1" min="3" max="3"/>
    <col width="13" customWidth="1" min="4" max="4"/>
    <col width="14" customWidth="1" min="5" max="5"/>
    <col width="9" customWidth="1" min="6" max="6"/>
    <col width="2.5" customWidth="1" min="7" max="7"/>
    <col width="96" customWidth="1" min="8" max="8"/>
    <col width="96" customWidth="1" min="9" max="9"/>
  </cols>
  <sheetData>
    <row r="1">
      <c r="A1" s="1" t="inlineStr">
        <is>
          <t>Arcline AI, Inc. - Q1 2026 latest best estimate</t>
        </is>
      </c>
    </row>
    <row r="2">
      <c r="A2" s="2" t="inlineStr">
        <is>
          <t>LBE_Q1_2026_M1, built on information to the January close and stamped 2026-02-06. Draft for ratification - the LBE is never a variance benchmark.</t>
        </is>
      </c>
    </row>
    <row r="3">
      <c r="A3" s="3" t="inlineStr">
        <is>
          <t>Benchmark is FY26 Plan v3 (board approved), locked 2025-12-11. Costs are shown negative; every Variance cell is that line's effect on the operating result, so the column adds down the page. LBE = Fcst + Variance on every row.</t>
        </is>
      </c>
    </row>
    <row r="4">
      <c r="A4" s="3" t="inlineStr">
        <is>
          <t>All change suggestions from the January flux analysis are ratified in this build: 43 of 63 classified lines move the forecast, 16 are absorbed by the quarter and move nothing.</t>
        </is>
      </c>
    </row>
    <row r="6" ht="24" customHeight="1">
      <c r="A6" s="4" t="inlineStr"/>
      <c r="B6" s="5" t="inlineStr">
        <is>
          <t>Owner</t>
        </is>
      </c>
      <c r="C6" s="5" t="inlineStr">
        <is>
          <t>Fcst Q1</t>
        </is>
      </c>
      <c r="D6" s="5" t="inlineStr">
        <is>
          <t>Variance</t>
        </is>
      </c>
      <c r="E6" s="5" t="inlineStr">
        <is>
          <t>LBE Q1</t>
        </is>
      </c>
      <c r="F6" s="5" t="inlineStr">
        <is>
          <t>Var %</t>
        </is>
      </c>
      <c r="G6" s="4" t="inlineStr"/>
      <c r="H6" s="5" t="inlineStr">
        <is>
          <t>Comments</t>
        </is>
      </c>
      <c r="I6" s="5" t="inlineStr">
        <is>
          <t>Traces to</t>
        </is>
      </c>
    </row>
    <row r="7">
      <c r="A7" s="6" t="inlineStr">
        <is>
          <t>REVENUE</t>
        </is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7" t="inlineStr">
        <is>
          <t>4000 Subscription revenue - platform</t>
        </is>
      </c>
      <c r="C8" s="8" t="n">
        <v>4825129.1</v>
      </c>
      <c r="D8" s="8" t="n">
        <v>-56018.01</v>
      </c>
      <c r="E8" s="8">
        <f>C8+D8</f>
        <v/>
      </c>
      <c r="F8" s="9">
        <f>IF(C8=0,"",D8/ABS(C8))</f>
        <v/>
      </c>
      <c r="H8" s="10" t="inlineStr">
        <is>
          <t>January sticks -56,018. Net new MRR of USD 52,160 against a planned USD 70,833: 4 new logos (Tidewater Freight, Drayton Energy, Bellwether Group, Marlowe Foods, USD....</t>
        </is>
      </c>
      <c r="I8" s="10" t="inlineStr">
        <is>
          <t>Subscription revenue - platform / (customer billing): -56,018 (sticks, Run-rate)</t>
        </is>
      </c>
    </row>
    <row r="9">
      <c r="A9" s="7" t="inlineStr">
        <is>
          <t>4010 Usage revenue - overage</t>
        </is>
      </c>
      <c r="C9" s="8" t="n">
        <v>656217.5600000001</v>
      </c>
      <c r="D9" s="8" t="n">
        <v>-84144.63</v>
      </c>
      <c r="E9" s="8">
        <f>C9+D9</f>
        <v/>
      </c>
      <c r="F9" s="9">
        <f>IF(C9=0,"",D9/ABS(C9))</f>
        <v/>
      </c>
      <c r="H9" s="10" t="inlineStr">
        <is>
          <t>-84,145 materializes on the open months. Two causes.</t>
        </is>
      </c>
      <c r="I9" s="10" t="inlineStr">
        <is>
          <t>Usage revenue - overage / (customer billing): -84,145 (materializes, Timing)</t>
        </is>
      </c>
    </row>
    <row r="10">
      <c r="A10" s="7" t="inlineStr">
        <is>
          <t>4020 Professional services revenue</t>
        </is>
      </c>
      <c r="C10" s="8" t="n">
        <v>283200</v>
      </c>
      <c r="D10" s="8" t="n">
        <v>0</v>
      </c>
      <c r="E10" s="8">
        <f>C10+D10</f>
        <v/>
      </c>
      <c r="F10" s="9">
        <f>IF(C10=0,"",D10/ABS(C10))</f>
        <v/>
      </c>
      <c r="H10" s="10" t="inlineStr"/>
      <c r="I10" s="10" t="inlineStr"/>
    </row>
    <row r="11">
      <c r="A11" s="7" t="inlineStr">
        <is>
          <t>4030 Other revenue</t>
        </is>
      </c>
      <c r="C11" s="8" t="n">
        <v>24000</v>
      </c>
      <c r="D11" s="8" t="n">
        <v>5177.61</v>
      </c>
      <c r="E11" s="8">
        <f>C11+D11</f>
        <v/>
      </c>
      <c r="F11" s="9">
        <f>IF(C11=0,"",D11/ABS(C11))</f>
        <v/>
      </c>
      <c r="H11" s="10" t="inlineStr">
        <is>
          <t>January sticks +5,178. Training and certification billed USD 9,726 against a plan run rate of USD 8,000 set below the actual December level of USD 10,409.</t>
        </is>
      </c>
      <c r="I11" s="10" t="inlineStr">
        <is>
          <t>Other revenue / (customer billing): +5,178 (sticks, Run-rate)</t>
        </is>
      </c>
    </row>
    <row r="12">
      <c r="A12" s="7" t="inlineStr">
        <is>
          <t>4090 Contra revenue - credits and refunds</t>
        </is>
      </c>
      <c r="C12" s="8" t="n">
        <v>-6000</v>
      </c>
      <c r="D12" s="8" t="n">
        <v>-13141.35</v>
      </c>
      <c r="E12" s="8">
        <f>C12+D12</f>
        <v/>
      </c>
      <c r="F12" s="9">
        <f>IF(C12=0,"",D12/ABS(C12))</f>
        <v/>
      </c>
      <c r="H12" s="10" t="inlineStr">
        <is>
          <t>January sticks -13,141. SLA credits of USD 4,635 against a USD 2,000 allowance struck at 0.1% of planned revenue.</t>
        </is>
      </c>
      <c r="I12" s="10" t="inlineStr">
        <is>
          <t>Contra revenue - credits and refunds / (customer billing): -13,141 (sticks, Run-rate)</t>
        </is>
      </c>
    </row>
    <row r="13">
      <c r="A13" s="11" t="inlineStr">
        <is>
          <t>Total revenue</t>
        </is>
      </c>
      <c r="B13" s="12" t="n"/>
      <c r="C13" s="13">
        <f>SUM(C8:C12)</f>
        <v/>
      </c>
      <c r="D13" s="13">
        <f>SUM(D8:D12)</f>
        <v/>
      </c>
      <c r="E13" s="13">
        <f>C13+D13</f>
        <v/>
      </c>
      <c r="F13" s="14">
        <f>IF(C13=0,"",D13/ABS(C13))</f>
        <v/>
      </c>
      <c r="G13" s="12" t="n"/>
      <c r="H13" s="12" t="n"/>
      <c r="I13" s="12" t="n"/>
    </row>
    <row r="14">
      <c r="A14" s="6" t="inlineStr">
        <is>
          <t>COST OF REVENUE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7" t="inlineStr">
        <is>
          <t>5000 COGS - model and inference API</t>
        </is>
      </c>
      <c r="C15" s="8" t="n">
        <v>-338704.19</v>
      </c>
      <c r="D15" s="8" t="n">
        <v>-33565</v>
      </c>
      <c r="E15" s="8">
        <f>C15+D15</f>
        <v/>
      </c>
      <c r="F15" s="9">
        <f>IF(C15=0,"",D15/ABS(C15))</f>
        <v/>
      </c>
      <c r="H15" s="10" t="inlineStr">
        <is>
          <t>January sticks -33,565. Rate USD 9,113 of the USD 12,501; volume USD 3,388.</t>
        </is>
      </c>
      <c r="I15" s="10" t="inlineStr">
        <is>
          <t>COGS - model and inference API / Anthropic PBC / OpenAI, L.L.C. / Mistral AI SAS / Together Computer, Inc. (blended): -33,565 (sticks, Rate-driven)</t>
        </is>
      </c>
    </row>
    <row r="16">
      <c r="A16" s="7" t="inlineStr">
        <is>
          <t>5010 COGS - cloud hosting and storage</t>
        </is>
      </c>
      <c r="C16" s="8" t="n">
        <v>-325458.01</v>
      </c>
      <c r="D16" s="8" t="n">
        <v>3206.7</v>
      </c>
      <c r="E16" s="8">
        <f>C16+D16</f>
        <v/>
      </c>
      <c r="F16" s="9">
        <f>IF(C16=0,"",D16/ABS(C16))</f>
        <v/>
      </c>
      <c r="H16" s="10" t="inlineStr">
        <is>
          <t>January sticks +3,207. Volume cost USD 3,325; unit rate saved USD 4,394.</t>
        </is>
      </c>
      <c r="I16" s="10" t="inlineStr">
        <is>
          <t>COGS - cloud hosting and storage / Amazon Web Services / Snowflake / GCP / Pinecone / Cloudflare: +3,207 (sticks, Rate-driven)</t>
        </is>
      </c>
    </row>
    <row r="17">
      <c r="A17" s="7" t="inlineStr">
        <is>
          <t>5020 COGS - dedicated GPU compute</t>
        </is>
      </c>
      <c r="C17" s="8" t="n">
        <v>-117000</v>
      </c>
      <c r="D17" s="8" t="n">
        <v>0</v>
      </c>
      <c r="E17" s="8">
        <f>C17+D17</f>
        <v/>
      </c>
      <c r="F17" s="9">
        <f>IF(C17=0,"",D17/ABS(C17))</f>
        <v/>
      </c>
      <c r="H17" s="10" t="inlineStr"/>
      <c r="I17" s="10" t="inlineStr"/>
    </row>
    <row r="18">
      <c r="A18" s="7" t="inlineStr">
        <is>
          <t>5030 COGS - third-party data and APIs</t>
        </is>
      </c>
      <c r="C18" s="8" t="n">
        <v>-69163.36</v>
      </c>
      <c r="D18" s="8" t="n">
        <v>-3690.36</v>
      </c>
      <c r="E18" s="8">
        <f>C18+D18</f>
        <v/>
      </c>
      <c r="F18" s="9">
        <f>IF(C18=0,"",D18/ABS(C18))</f>
        <v/>
      </c>
      <c r="H18" s="10" t="inlineStr">
        <is>
          <t>January sticks -3,690. USD 24,147 against a plan built off the December run rate at 0.6% monthly growth.</t>
        </is>
      </c>
      <c r="I18" s="10" t="inlineStr">
        <is>
          <t>COGS - third-party data and APIs / Halstead Data Partners / Scale AI / Dun &amp; Bradstreet / Clearbit: -3,690 (sticks, Run-rate)</t>
        </is>
      </c>
    </row>
    <row r="19">
      <c r="A19" s="7" t="inlineStr">
        <is>
          <t>5040 COGS - support payroll</t>
        </is>
      </c>
      <c r="C19" s="8" t="n">
        <v>-165000</v>
      </c>
      <c r="D19" s="8" t="n">
        <v>61165.78</v>
      </c>
      <c r="E19" s="8">
        <f>C19+D19</f>
        <v/>
      </c>
      <c r="F19" s="9">
        <f>IF(C19=0,"",D19/ABS(C19))</f>
        <v/>
      </c>
      <c r="H19" s="10" t="inlineStr">
        <is>
          <t>January sticks +61,166. Heads USD 11,000, rate USD 6,271.</t>
        </is>
      </c>
      <c r="I19" s="10" t="inlineStr">
        <is>
          <t>COGS - support payroll / (no vendor - internal entry): +61,166 (sticks, Run-rate)</t>
        </is>
      </c>
    </row>
    <row r="20">
      <c r="A20" s="7" t="inlineStr">
        <is>
          <t>5050 COGS - professional services payroll</t>
        </is>
      </c>
      <c r="C20" s="8" t="n">
        <v>-165000</v>
      </c>
      <c r="D20" s="8" t="n">
        <v>-7614.25</v>
      </c>
      <c r="E20" s="8">
        <f>C20+D20</f>
        <v/>
      </c>
      <c r="F20" s="9">
        <f>IF(C20=0,"",D20/ABS(C20))</f>
        <v/>
      </c>
      <c r="H20" s="10" t="inlineStr">
        <is>
          <t>January sticks -7,614. Five delivery heads at USD 696,294 loaded, USD 58,025 a month against a plan of USD 55,000.</t>
        </is>
      </c>
      <c r="I20" s="10" t="inlineStr">
        <is>
          <t>COGS - professional services payroll / (no vendor - internal entry): -7,614 (sticks, Run-rate)</t>
        </is>
      </c>
    </row>
    <row r="21">
      <c r="A21" s="7" t="inlineStr">
        <is>
          <t>5060 COGS - delivery contractors</t>
        </is>
      </c>
      <c r="C21" s="8" t="n">
        <v>-48384.94</v>
      </c>
      <c r="D21" s="8" t="n">
        <v>-1422.9</v>
      </c>
      <c r="E21" s="8">
        <f>C21+D21</f>
        <v/>
      </c>
      <c r="F21" s="9">
        <f>IF(C21=0,"",D21/ABS(C21))</f>
        <v/>
      </c>
      <c r="H21" s="10" t="inlineStr">
        <is>
          <t>January sticks -1,423. Contractor days billed USD 16,442 against a December run rate of USD 15,810 grown at 1.0%.</t>
        </is>
      </c>
      <c r="I21" s="10" t="inlineStr">
        <is>
          <t>COGS - delivery contractors / Miscellaneous suppliers (under $5k): -1,423 (sticks, Run-rate)</t>
        </is>
      </c>
    </row>
    <row r="22">
      <c r="A22" s="7" t="inlineStr">
        <is>
          <t>5070 COGS - amortization of capitalized software</t>
        </is>
      </c>
      <c r="C22" s="8" t="n">
        <v>-136200</v>
      </c>
      <c r="D22" s="8" t="n">
        <v>5118</v>
      </c>
      <c r="E22" s="8">
        <f>C22+D22</f>
        <v/>
      </c>
      <c r="F22" s="9">
        <f>IF(C22=0,"",D22/ABS(C22))</f>
        <v/>
      </c>
      <c r="H22" s="10" t="inlineStr">
        <is>
          <t>January sticks +5,118. The charge is USD 43,694.23, identical to December and to the trailing 3-month average to the cent, which is exactly right: the register placed....</t>
        </is>
      </c>
      <c r="I22" s="10" t="inlineStr">
        <is>
          <t>COGS - amortization of capitalized software / (no vendor - internal entry): +5,118 (sticks, Run-rate)</t>
        </is>
      </c>
    </row>
    <row r="23">
      <c r="A23" s="7" t="inlineStr">
        <is>
          <t>5080 COGS - payment processing fees</t>
        </is>
      </c>
      <c r="C23" s="8" t="n">
        <v>-34408.8</v>
      </c>
      <c r="D23" s="8" t="n">
        <v>7517.4</v>
      </c>
      <c r="E23" s="8">
        <f>C23+D23</f>
        <v/>
      </c>
      <c r="F23" s="9">
        <f>IF(C23=0,"",D23/ABS(C23))</f>
        <v/>
      </c>
      <c r="H23" s="10" t="inlineStr">
        <is>
          <t>January sticks +7,517. The effective rate did not move at all: USD 11,966.55 of fees on USD 509,215.00 of card-collected billings settled through Stripe is 2.350000%,....</t>
        </is>
      </c>
      <c r="I23" s="10" t="inlineStr">
        <is>
          <t>COGS - payment processing fees / Stripe, Inc.: +7,517 (sticks, Volume-driven)</t>
        </is>
      </c>
    </row>
    <row r="24">
      <c r="A24" s="7" t="inlineStr">
        <is>
          <t>5090 COGS - other</t>
        </is>
      </c>
      <c r="C24" s="8" t="n">
        <v>-10795.91</v>
      </c>
      <c r="D24" s="8" t="n">
        <v>-278.46</v>
      </c>
      <c r="E24" s="8">
        <f>C24+D24</f>
        <v/>
      </c>
      <c r="F24" s="9">
        <f>IF(C24=0,"",D24/ABS(C24))</f>
        <v/>
      </c>
      <c r="H24" s="10" t="inlineStr">
        <is>
          <t>January sticks -278. Localization at USD 3,677 against a December run rate of USD 3,570 grown at 0.4%.</t>
        </is>
      </c>
      <c r="I24" s="10" t="inlineStr">
        <is>
          <t>COGS - other / Unbabel Ltda: -278 (sticks, Run-rate)</t>
        </is>
      </c>
    </row>
    <row r="25">
      <c r="A25" s="11" t="inlineStr">
        <is>
          <t>Total cost of revenue</t>
        </is>
      </c>
      <c r="B25" s="12" t="n"/>
      <c r="C25" s="13">
        <f>SUM(C15:C24)</f>
        <v/>
      </c>
      <c r="D25" s="13">
        <f>SUM(D15:D24)</f>
        <v/>
      </c>
      <c r="E25" s="13">
        <f>C25+D25</f>
        <v/>
      </c>
      <c r="F25" s="14">
        <f>IF(C25=0,"",D25/ABS(C25))</f>
        <v/>
      </c>
      <c r="G25" s="12" t="n"/>
      <c r="H25" s="12" t="n"/>
      <c r="I25" s="12" t="n"/>
    </row>
    <row r="26">
      <c r="A26" s="15" t="inlineStr">
        <is>
          <t>GROSS PROFIT</t>
        </is>
      </c>
      <c r="B26" s="16" t="n"/>
      <c r="C26" s="17">
        <f>C13+C25</f>
        <v/>
      </c>
      <c r="D26" s="17">
        <f>D13+D25</f>
        <v/>
      </c>
      <c r="E26" s="17">
        <f>C26+D26</f>
        <v/>
      </c>
      <c r="F26" s="18">
        <f>IF(C26=0,"",D26/ABS(C26))</f>
        <v/>
      </c>
    </row>
    <row r="27">
      <c r="A27" s="19" t="inlineStr">
        <is>
          <t xml:space="preserve">   Gross margin %</t>
        </is>
      </c>
      <c r="C27" s="20">
        <f>IF(C13=0,"",C26/C13)</f>
        <v/>
      </c>
      <c r="E27" s="20">
        <f>IF(E13=0,"",E26/E13)</f>
        <v/>
      </c>
      <c r="F27" s="21">
        <f>IF(OR(C13=0,E13=0),"",(E26/E13-C26/C13)*100)</f>
        <v/>
      </c>
      <c r="H27" s="19" t="inlineStr">
        <is>
          <t>Move in points, not the percentage variance in the column above.</t>
        </is>
      </c>
    </row>
    <row r="28">
      <c r="A28" s="6" t="inlineStr">
        <is>
          <t>OPERATING EXPENSE, BY COST CENTER OWNER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7" t="inlineStr">
        <is>
          <t>CC-100 Executive</t>
        </is>
      </c>
      <c r="B29" s="22" t="inlineStr">
        <is>
          <t>Dana Whitfield (CEO)</t>
        </is>
      </c>
      <c r="C29" s="8" t="n">
        <v>-791293.2</v>
      </c>
      <c r="D29" s="8" t="n">
        <v>-28499.13</v>
      </c>
      <c r="E29" s="8">
        <f>C29+D29</f>
        <v/>
      </c>
      <c r="F29" s="9">
        <f>IF(C29=0,"",D29/ABS(C29))</f>
        <v/>
      </c>
      <c r="H29" s="10" t="inlineStr">
        <is>
          <t>January sticks +13,991; -42,490 materializes on the open months. Not an overspend.</t>
        </is>
      </c>
      <c r="I29" s="10" t="inlineStr">
        <is>
          <t>G&amp;A - salaries and wages / (no vendor - internal entry): -36,434 (materializes, Rate-driven) | R&amp;D - salaries and wages / (no vendor - internal entry): +11,745 (sticks, Rate-driven) | G&amp;A - payroll taxes and benefits / (no vendor - internal entry): -6,056 (materializes, Rate-driven) | R&amp;D - payroll taxes and benefits / (no vendor - internal entry): +2,246 (sticks, Rate-driven)</t>
        </is>
      </c>
    </row>
    <row r="30">
      <c r="A30" s="7" t="inlineStr">
        <is>
          <t>CC-200 Engineering</t>
        </is>
      </c>
      <c r="B30" s="22" t="inlineStr">
        <is>
          <t>Priya Raghavan (VP Engineering)</t>
        </is>
      </c>
      <c r="C30" s="8" t="n">
        <v>-1351685.33</v>
      </c>
      <c r="D30" s="8" t="n">
        <v>56867.64</v>
      </c>
      <c r="E30" s="8">
        <f>C30+D30</f>
        <v/>
      </c>
      <c r="F30" s="9">
        <f>IF(C30=0,"",D30/ABS(C30))</f>
        <v/>
      </c>
      <c r="H30" s="10" t="inlineStr">
        <is>
          <t>January sticks +148,153; -74,064 materializes on the open months. Loaded rate USD 17,051 against USD 19,322 planned = +88,574 (roster loaded average USD 193,505 against the plan's USD 214,000); heads 39 against....</t>
        </is>
      </c>
      <c r="I30" s="10" t="inlineStr">
        <is>
          <t>R&amp;D - salaries and wages / (no vendor - internal entry): +132,807 (sticks, Rate-driven) | R&amp;D - capitalized software labor (contra) / (no vendor - internal entry): -74,064 (materializes, One-time) | R&amp;D - payroll taxes and benefits / (no vendor - internal entry): +25,626 (sticks, Rate-driven) | R&amp;D - contractors / Thoughtbolt Engineering LLC: -17,221 (absorbed, Volume-driven) | R&amp;D - software and developer tools / GitHub, Inc.: -4,050 (sticks, Rate-driven) | R&amp;D - software and developer tools / LaunchDarkly, Inc.: -2,388 (sticks, Rate-driven) | R&amp;D - software and developer tools / Sentry (Functional Software): -1,765 (sticks, Rate-driven) | R&amp;D - software and developer tools / JetBrains s.r.o.: -1,090 (sticks, Rate-driven) | R&amp;D - software and developer tools / Linear Orbit, Inc.: -986 (sticks, Rate-driven)</t>
        </is>
      </c>
    </row>
    <row r="31">
      <c r="A31" s="7" t="inlineStr">
        <is>
          <t>CC-210 Applied Research</t>
        </is>
      </c>
      <c r="B31" s="22" t="inlineStr">
        <is>
          <t>Tomas Lindqvist (Head of Applied Research)</t>
        </is>
      </c>
      <c r="C31" s="8" t="n">
        <v>-547294.27</v>
      </c>
      <c r="D31" s="8" t="n">
        <v>-221052.26</v>
      </c>
      <c r="E31" s="8">
        <f>C31+D31</f>
        <v/>
      </c>
      <c r="F31" s="9">
        <f>IF(C31=0,"",D31/ABS(C31))</f>
        <v/>
      </c>
      <c r="H31" s="10" t="inlineStr">
        <is>
          <t>January sticks -221,052. CoreWeave reserved H200 training capacity USD 88,500, moved out of cost of revenue by ADJ-2026-01-003; the 6050 envelope of USD 26,318 was never....</t>
        </is>
      </c>
      <c r="I31" s="10" t="inlineStr">
        <is>
          <t>R&amp;D - research compute / CoreWeave, Inc.: -265,500 (sticks, Run-rate) | R&amp;D - salaries and wages / (no vendor - internal entry): +59,212 (sticks, Rate-driven) | R&amp;D - research compute / Weights &amp; Biases, Inc.: -16,096 (sticks, Rate-driven) | R&amp;D - payroll taxes and benefits / (no vendor - internal entry): +11,273 (sticks, Rate-driven) | R&amp;D - research compute / Hugging Face, Inc.: -9,942 (sticks, Rate-driven)</t>
        </is>
      </c>
    </row>
    <row r="32">
      <c r="A32" s="7" t="inlineStr">
        <is>
          <t>CC-220 Platform &amp; Infrastructure</t>
        </is>
      </c>
      <c r="B32" s="22" t="inlineStr">
        <is>
          <t>Marcus Bell (Head of Infrastructure)</t>
        </is>
      </c>
      <c r="C32" s="8" t="n">
        <v>-472251.02</v>
      </c>
      <c r="D32" s="8" t="n">
        <v>9899.120000000001</v>
      </c>
      <c r="E32" s="8">
        <f>C32+D32</f>
        <v/>
      </c>
      <c r="F32" s="9">
        <f>IF(C32=0,"",D32/ABS(C32))</f>
        <v/>
      </c>
      <c r="H32" s="10" t="inlineStr">
        <is>
          <t>January sticks +59,315. Loaded rate USD 17,051 against USD 19,322 planned = +88,574 (roster loaded average USD 193,505 against the plan's USD 214,000); heads 39 against....</t>
        </is>
      </c>
      <c r="I32" s="10" t="inlineStr">
        <is>
          <t>R&amp;D - salaries and wages / (no vendor - internal entry): +51,093 (sticks, Rate-driven) | R&amp;D - software and developer tools / Datadog, Inc.: -49,416 (absorbed, One-time) | R&amp;D - payroll taxes and benefits / (no vendor - internal entry): +9,728 (sticks, Rate-driven) | R&amp;D - software and developer tools / PagerDuty, Inc.: -1,506 (sticks, Rate-driven)</t>
        </is>
      </c>
    </row>
    <row r="33">
      <c r="A33" s="7" t="inlineStr">
        <is>
          <t>CC-300 Product &amp; Design</t>
        </is>
      </c>
      <c r="B33" s="22" t="inlineStr">
        <is>
          <t>Elena Duarte (VP Product)</t>
        </is>
      </c>
      <c r="C33" s="8" t="n">
        <v>-379750.58</v>
      </c>
      <c r="D33" s="8" t="n">
        <v>46139.46</v>
      </c>
      <c r="E33" s="8">
        <f>C33+D33</f>
        <v/>
      </c>
      <c r="F33" s="9">
        <f>IF(C33=0,"",D33/ABS(C33))</f>
        <v/>
      </c>
      <c r="H33" s="10" t="inlineStr">
        <is>
          <t>January sticks +46,139. Loaded rate USD 17,051 against USD 19,322 planned = +88,574 (roster loaded average USD 193,505 against the plan's USD 214,000); heads 39 against....</t>
        </is>
      </c>
      <c r="I33" s="10" t="inlineStr">
        <is>
          <t>R&amp;D - salaries and wages / (no vendor - internal entry): +41,173 (sticks, Rate-driven) | R&amp;D - payroll taxes and benefits / (no vendor - internal entry): +7,822 (sticks, Rate-driven) | R&amp;D - software and developer tools / Figma, Inc.: -1,973 (sticks, Rate-driven) | R&amp;D - software and developer tools / Maze Design Ltd: -883 (sticks, Rate-driven)</t>
        </is>
      </c>
    </row>
    <row r="34">
      <c r="A34" s="7" t="inlineStr">
        <is>
          <t>CC-400 Sales - Enterprise</t>
        </is>
      </c>
      <c r="B34" s="22" t="inlineStr">
        <is>
          <t>Grant Mwangi (VP Sales)</t>
        </is>
      </c>
      <c r="C34" s="8" t="n">
        <v>-686431.83</v>
      </c>
      <c r="D34" s="8" t="n">
        <v>71083.77</v>
      </c>
      <c r="E34" s="8">
        <f>C34+D34</f>
        <v/>
      </c>
      <c r="F34" s="9">
        <f>IF(C34=0,"",D34/ABS(C34))</f>
        <v/>
      </c>
      <c r="H34" s="10" t="inlineStr">
        <is>
          <t>+71,084 materializes on the open months. Loaded cost per head, not heads.</t>
        </is>
      </c>
      <c r="I34" s="10" t="inlineStr">
        <is>
          <t>S&amp;M - salaries and wages / (no vendor - internal entry): +62,816 (materializes, Run-rate) | S&amp;M - payroll taxes and benefits / (no vendor - internal entry): +10,668 (materializes, Run-rate) | S&amp;M - travel and entertainment / Navan, Inc.: -2,400 (materializes, Run-rate)</t>
        </is>
      </c>
    </row>
    <row r="35">
      <c r="A35" s="7" t="inlineStr">
        <is>
          <t>CC-410 Sales - Mid-market</t>
        </is>
      </c>
      <c r="B35" s="22" t="inlineStr">
        <is>
          <t>Grant Mwangi (VP Sales)</t>
        </is>
      </c>
      <c r="C35" s="8" t="n">
        <v>-340109.15</v>
      </c>
      <c r="D35" s="8" t="n">
        <v>38495.66</v>
      </c>
      <c r="E35" s="8">
        <f>C35+D35</f>
        <v/>
      </c>
      <c r="F35" s="9">
        <f>IF(C35=0,"",D35/ABS(C35))</f>
        <v/>
      </c>
      <c r="H35" s="10" t="inlineStr">
        <is>
          <t>+38,496 materializes on the open months. Loaded cost per head, not heads.</t>
        </is>
      </c>
      <c r="I35" s="10" t="inlineStr">
        <is>
          <t>S&amp;M - salaries and wages / (no vendor - internal entry): +32,986 (materializes, Run-rate) | S&amp;M - payroll taxes and benefits / (no vendor - internal entry): +5,509 (materializes, Run-rate)</t>
        </is>
      </c>
    </row>
    <row r="36">
      <c r="A36" s="7" t="inlineStr">
        <is>
          <t>CC-420 Sales Engineering</t>
        </is>
      </c>
      <c r="B36" s="22" t="inlineStr">
        <is>
          <t>Ruth Oyelaran (Dir. Sales Engineering)</t>
        </is>
      </c>
      <c r="C36" s="8" t="n">
        <v>-362674.08</v>
      </c>
      <c r="D36" s="8" t="n">
        <v>41327</v>
      </c>
      <c r="E36" s="8">
        <f>C36+D36</f>
        <v/>
      </c>
      <c r="F36" s="9">
        <f>IF(C36=0,"",D36/ABS(C36))</f>
        <v/>
      </c>
      <c r="H36" s="10" t="inlineStr">
        <is>
          <t>+41,327 materializes on the open months. Loaded cost per head, not heads.</t>
        </is>
      </c>
      <c r="I36" s="10" t="inlineStr">
        <is>
          <t>S&amp;M - salaries and wages / (no vendor - internal entry): +35,452 (materializes, Run-rate) | S&amp;M - payroll taxes and benefits / (no vendor - internal entry): +5,875 (materializes, Run-rate)</t>
        </is>
      </c>
    </row>
    <row r="37">
      <c r="A37" s="7" t="inlineStr">
        <is>
          <t>CC-430 Revenue Operations</t>
        </is>
      </c>
      <c r="B37" s="22" t="inlineStr">
        <is>
          <t>Kevin Sandoval (Dir. RevOps)</t>
        </is>
      </c>
      <c r="C37" s="8" t="n">
        <v>-233498.01</v>
      </c>
      <c r="D37" s="8" t="n">
        <v>8492.23</v>
      </c>
      <c r="E37" s="8">
        <f>C37+D37</f>
        <v/>
      </c>
      <c r="F37" s="9">
        <f>IF(C37=0,"",D37/ABS(C37))</f>
        <v/>
      </c>
      <c r="H37" s="10" t="inlineStr">
        <is>
          <t>+8,492 materializes on the open months. Loaded cost per head, not heads.</t>
        </is>
      </c>
      <c r="I37" s="10" t="inlineStr">
        <is>
          <t>S&amp;M - salaries and wages / (no vendor - internal entry): +23,210 (materializes, Run-rate) | S&amp;M - software and tools / Gong.io, Inc.: -18,500 (materializes, Rate-driven) | S&amp;M - payroll taxes and benefits / (no vendor - internal entry): +3,782 (materializes, Run-rate)</t>
        </is>
      </c>
    </row>
    <row r="38">
      <c r="A38" s="7" t="inlineStr">
        <is>
          <t>CC-440 Sales - EMEA</t>
        </is>
      </c>
      <c r="B38" s="22" t="inlineStr">
        <is>
          <t>Isabelle Rochet (Dir. EMEA)</t>
        </is>
      </c>
      <c r="C38" s="8" t="n">
        <v>-270309.17</v>
      </c>
      <c r="D38" s="8" t="n">
        <v>30486</v>
      </c>
      <c r="E38" s="8">
        <f>C38+D38</f>
        <v/>
      </c>
      <c r="F38" s="9">
        <f>IF(C38=0,"",D38/ABS(C38))</f>
        <v/>
      </c>
      <c r="H38" s="10" t="inlineStr">
        <is>
          <t>+30,486 materializes on the open months. Loaded cost per head, not heads.</t>
        </is>
      </c>
      <c r="I38" s="10" t="inlineStr">
        <is>
          <t>S&amp;M - salaries and wages / (no vendor - internal entry): +24,919 (materializes, Run-rate) | S&amp;M - payroll taxes and benefits / (no vendor - internal entry): +5,567 (materializes, Run-rate)</t>
        </is>
      </c>
    </row>
    <row r="39">
      <c r="A39" s="7" t="inlineStr">
        <is>
          <t>CC-500 Marketing</t>
        </is>
      </c>
      <c r="B39" s="22" t="inlineStr">
        <is>
          <t>Naomi Ostrander (VP Marketing)</t>
        </is>
      </c>
      <c r="C39" s="8" t="n">
        <v>-440833.78</v>
      </c>
      <c r="D39" s="8" t="n">
        <v>33646.29</v>
      </c>
      <c r="E39" s="8">
        <f>C39+D39</f>
        <v/>
      </c>
      <c r="F39" s="9">
        <f>IF(C39=0,"",D39/ABS(C39))</f>
        <v/>
      </c>
      <c r="H39" s="10" t="inlineStr">
        <is>
          <t>+33,646 materializes on the open months. Loaded cost per head, not heads.</t>
        </is>
      </c>
      <c r="I39" s="10" t="inlineStr">
        <is>
          <t>S&amp;M - salaries and wages / (no vendor - internal entry): +40,838 (materializes, Run-rate) | S&amp;M - demand generation and paid media / All media vendors: -14,000 (materializes, Run-rate) | S&amp;M - payroll taxes and benefits / (no vendor - internal entry): +6,808 (materializes, Run-rate)</t>
        </is>
      </c>
    </row>
    <row r="40">
      <c r="A40" s="7" t="inlineStr">
        <is>
          <t>CC-600 Customer Success</t>
        </is>
      </c>
      <c r="B40" s="22" t="inlineStr">
        <is>
          <t>Hana Kobayashi (VP CS)</t>
        </is>
      </c>
      <c r="C40" s="8" t="n">
        <v>-357441.64</v>
      </c>
      <c r="D40" s="8" t="n">
        <v>40569.06</v>
      </c>
      <c r="E40" s="8">
        <f>C40+D40</f>
        <v/>
      </c>
      <c r="F40" s="9">
        <f>IF(C40=0,"",D40/ABS(C40))</f>
        <v/>
      </c>
      <c r="H40" s="10" t="inlineStr">
        <is>
          <t>+40,569 materializes on the open months. Loaded cost per head, not heads.</t>
        </is>
      </c>
      <c r="I40" s="10" t="inlineStr">
        <is>
          <t>S&amp;M - salaries and wages / (no vendor - internal entry): +34,779 (materializes, Run-rate) | S&amp;M - payroll taxes and benefits / (no vendor - internal entry): +5,790 (materializes, Run-rate)</t>
        </is>
      </c>
    </row>
    <row r="41">
      <c r="A41" s="7" t="inlineStr">
        <is>
          <t>CC-700 Finance</t>
        </is>
      </c>
      <c r="B41" s="22" t="inlineStr">
        <is>
          <t>Jonathan Reyes (VP Finance)</t>
        </is>
      </c>
      <c r="C41" s="8" t="n">
        <v>-432263.17</v>
      </c>
      <c r="D41" s="8" t="n">
        <v>-14460</v>
      </c>
      <c r="E41" s="8">
        <f>C41+D41</f>
        <v/>
      </c>
      <c r="F41" s="9">
        <f>IF(C41=0,"",D41/ABS(C41))</f>
        <v/>
      </c>
      <c r="H41" s="10" t="inlineStr">
        <is>
          <t>January sticks -4,361; -40,010 materializes on the open months. Delaware franchise tax invoiced in full at USD 39,882 on 6 Jan and spread over the year it covers by ADJ-2026-01-010; the plan expensed the whole....</t>
        </is>
      </c>
      <c r="I41" s="10" t="inlineStr">
        <is>
          <t>G&amp;A - taxes, licenses and fees / Delaware Division of Corporations: +29,912 (absorbed, Timing) | G&amp;A - salaries and wages / (no vendor - internal entry): -23,194 (materializes, Rate-driven) | G&amp;A - accounting, audit and tax / All engagement vendors (5): -18,079 (materializes, Rate-driven) | G&amp;A - credit loss expense / (no vendor - internal entry): +5,100 (materializes, Volume-driven) | G&amp;A - payroll taxes and benefits / (no vendor - internal entry): -3,837 (materializes, Rate-driven) | R&amp;D - recruiting, travel and other / Miscellaneous suppliers (under $5k): -1,454 (sticks, Run-rate) | R&amp;D - recruiting, travel and other / Miscellaneous suppliers (under $5k): -1,454 (sticks, Run-rate) | R&amp;D - recruiting, travel and other / Miscellaneous suppliers (under $5k): -1,454 (sticks, Run-rate)</t>
        </is>
      </c>
    </row>
    <row r="42">
      <c r="A42" s="7" t="inlineStr">
        <is>
          <t>CC-710 People Operations</t>
        </is>
      </c>
      <c r="B42" s="22" t="inlineStr">
        <is>
          <t>Cara Nwosu (Head of People)</t>
        </is>
      </c>
      <c r="C42" s="8" t="n">
        <v>-234818.32</v>
      </c>
      <c r="D42" s="8" t="n">
        <v>-37969.7</v>
      </c>
      <c r="E42" s="8">
        <f>C42+D42</f>
        <v/>
      </c>
      <c r="F42" s="9">
        <f>IF(C42=0,"",D42/ABS(C42))</f>
        <v/>
      </c>
      <c r="H42" s="10" t="inlineStr">
        <is>
          <t>-37,970 materializes on the open months. The plan is the problem, not the month.</t>
        </is>
      </c>
      <c r="I42" s="10" t="inlineStr">
        <is>
          <t>G&amp;A - recruiting / Robert Half Technology: -23,106 (materializes, Run-rate) | G&amp;A - salaries and wages / (no vendor - internal entry): -12,779 (materializes, Rate-driven) | G&amp;A - payroll taxes and benefits / (no vendor - internal entry): -2,085 (materializes, Rate-driven)</t>
        </is>
      </c>
    </row>
    <row r="43">
      <c r="A43" s="7" t="inlineStr">
        <is>
          <t>CC-720 Legal</t>
        </is>
      </c>
      <c r="B43" s="22" t="inlineStr">
        <is>
          <t>Simon Aldridge (General Counsel)</t>
        </is>
      </c>
      <c r="C43" s="8" t="n">
        <v>-299340.47</v>
      </c>
      <c r="D43" s="8" t="n">
        <v>-60789.44</v>
      </c>
      <c r="E43" s="8">
        <f>C43+D43</f>
        <v/>
      </c>
      <c r="F43" s="9">
        <f>IF(C43=0,"",D43/ABS(C43))</f>
        <v/>
      </c>
      <c r="H43" s="10" t="inlineStr">
        <is>
          <t>January sticks -35,162; -25,627 materializes on the open months. Two components.</t>
        </is>
      </c>
      <c r="I43" s="10" t="inlineStr">
        <is>
          <t>G&amp;A - legal fees / Cooley LLP: -35,162 (sticks, One-time) | G&amp;A - salaries and wages / (no vendor - internal entry): -16,421 (materializes, Rate-driven) | G&amp;A - legal fees / Fenwick &amp; West LLP: -6,549 (materializes, Run-rate) | G&amp;A - payroll taxes and benefits / (no vendor - internal entry): -2,657 (materializes, Rate-driven)</t>
        </is>
      </c>
    </row>
    <row r="44">
      <c r="A44" s="7" t="inlineStr">
        <is>
          <t>CC-730 IT &amp; Security</t>
        </is>
      </c>
      <c r="B44" s="22" t="inlineStr">
        <is>
          <t>Marcus Bell (Head of Infrastructure)</t>
        </is>
      </c>
      <c r="C44" s="8" t="n">
        <v>-188277.75</v>
      </c>
      <c r="D44" s="8" t="n">
        <v>-13279.62</v>
      </c>
      <c r="E44" s="8">
        <f>C44+D44</f>
        <v/>
      </c>
      <c r="F44" s="9">
        <f>IF(C44=0,"",D44/ABS(C44))</f>
        <v/>
      </c>
      <c r="H44" s="10" t="inlineStr">
        <is>
          <t>-13,280 materializes on the open months. Not an overspend.</t>
        </is>
      </c>
      <c r="I44" s="10" t="inlineStr">
        <is>
          <t>G&amp;A - salaries and wages / (no vendor - internal entry): -11,423 (materializes, Rate-driven) | G&amp;A - payroll taxes and benefits / (no vendor - internal entry): -1,857 (materializes, Rate-driven)</t>
        </is>
      </c>
    </row>
    <row r="45">
      <c r="A45" s="11" t="inlineStr">
        <is>
          <t>Total operating expense</t>
        </is>
      </c>
      <c r="B45" s="12" t="n"/>
      <c r="C45" s="13">
        <f>SUM(C29:C44)</f>
        <v/>
      </c>
      <c r="D45" s="13">
        <f>SUM(D29:D44)</f>
        <v/>
      </c>
      <c r="E45" s="13">
        <f>C45+D45</f>
        <v/>
      </c>
      <c r="F45" s="14">
        <f>IF(C45=0,"",D45/ABS(C45))</f>
        <v/>
      </c>
      <c r="G45" s="12" t="n"/>
      <c r="H45" s="12" t="n"/>
      <c r="I45" s="12" t="n"/>
    </row>
    <row r="46">
      <c r="A46" s="19" t="inlineStr">
        <is>
          <t xml:space="preserve">   Total operating expense, % of revenue</t>
        </is>
      </c>
      <c r="C46" s="20">
        <f>IF(C13=0,"",-C45/C13)</f>
        <v/>
      </c>
      <c r="E46" s="20">
        <f>IF(E13=0,"",-E45/E13)</f>
        <v/>
      </c>
      <c r="F46" s="21">
        <f>IF(OR(C13=0,E13=0),"",(-E45/E13--C45/C13)*100)</f>
        <v/>
      </c>
      <c r="H46" s="19" t="inlineStr">
        <is>
          <t>Move in points, not the percentage variance in the column above.</t>
        </is>
      </c>
    </row>
    <row r="47">
      <c r="A47" s="15" t="inlineStr">
        <is>
          <t>OPERATING RESULT</t>
        </is>
      </c>
      <c r="B47" s="16" t="n"/>
      <c r="C47" s="17">
        <f>C26+C45</f>
        <v/>
      </c>
      <c r="D47" s="17">
        <f>D26+D45</f>
        <v/>
      </c>
      <c r="E47" s="17">
        <f>C47+D47</f>
        <v/>
      </c>
      <c r="F47" s="18">
        <f>IF(C47=0,"",D47/ABS(C47))</f>
        <v/>
      </c>
    </row>
    <row r="48">
      <c r="A48" s="6" t="inlineStr">
        <is>
          <t>OTHER INCOME (EXPENSE) AND TAX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</row>
    <row r="49">
      <c r="A49" s="7" t="inlineStr">
        <is>
          <t>9000 Interest income</t>
        </is>
      </c>
      <c r="C49" s="8" t="n">
        <v>242590.41</v>
      </c>
      <c r="D49" s="8" t="n">
        <v>0</v>
      </c>
      <c r="E49" s="8">
        <f>C49+D49</f>
        <v/>
      </c>
      <c r="F49" s="9">
        <f>IF(C49=0,"",D49/ABS(C49))</f>
        <v/>
      </c>
      <c r="H49" s="10" t="inlineStr"/>
      <c r="I49" s="10" t="inlineStr"/>
    </row>
    <row r="50">
      <c r="A50" s="7" t="inlineStr">
        <is>
          <t>9030 Income tax expense</t>
        </is>
      </c>
      <c r="C50" s="8" t="n">
        <v>-12000</v>
      </c>
      <c r="D50" s="8" t="n">
        <v>0</v>
      </c>
      <c r="E50" s="8">
        <f>C50+D50</f>
        <v/>
      </c>
      <c r="F50" s="9">
        <f>IF(C50=0,"",D50/ABS(C50))</f>
        <v/>
      </c>
      <c r="H50" s="10" t="inlineStr"/>
      <c r="I50" s="10" t="inlineStr"/>
    </row>
    <row r="51">
      <c r="A51" s="11" t="inlineStr">
        <is>
          <t>Total other income (expense) and tax</t>
        </is>
      </c>
      <c r="B51" s="12" t="n"/>
      <c r="C51" s="13">
        <f>SUM(C49:C50)</f>
        <v/>
      </c>
      <c r="D51" s="13">
        <f>SUM(D49:D50)</f>
        <v/>
      </c>
      <c r="E51" s="13">
        <f>C51+D51</f>
        <v/>
      </c>
      <c r="F51" s="14">
        <f>IF(C51=0,"",D51/ABS(C51))</f>
        <v/>
      </c>
      <c r="G51" s="12" t="n"/>
      <c r="H51" s="12" t="n"/>
      <c r="I51" s="12" t="n"/>
    </row>
    <row r="52">
      <c r="A52" s="15" t="inlineStr">
        <is>
          <t>NET RESULT</t>
        </is>
      </c>
      <c r="B52" s="16" t="n"/>
      <c r="C52" s="17">
        <f>C47+C51</f>
        <v/>
      </c>
      <c r="D52" s="17">
        <f>D47+D51</f>
        <v/>
      </c>
      <c r="E52" s="17">
        <f>C52+D52</f>
        <v/>
      </c>
      <c r="F52" s="18">
        <f>IF(C52=0,"",D52/ABS(C52))</f>
        <v/>
      </c>
    </row>
    <row r="53">
      <c r="A53" s="6" t="inlineStr">
        <is>
          <t>EBITDA BUILD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</row>
    <row r="54">
      <c r="A54" s="7" t="inlineStr">
        <is>
          <t>Operating result</t>
        </is>
      </c>
      <c r="C54" s="8">
        <f>C47</f>
        <v/>
      </c>
      <c r="D54" s="8">
        <f>D47</f>
        <v/>
      </c>
      <c r="E54" s="8">
        <f>C54+D54</f>
        <v/>
      </c>
    </row>
    <row r="55">
      <c r="A55" s="7" t="inlineStr">
        <is>
          <t>Add back Amortization of capitalized software - 5070</t>
        </is>
      </c>
      <c r="C55" s="8" t="n">
        <v>136200</v>
      </c>
      <c r="D55" s="8" t="n">
        <v>-5118</v>
      </c>
      <c r="E55" s="8">
        <f>C55+D55</f>
        <v/>
      </c>
    </row>
    <row r="56">
      <c r="A56" s="15" t="inlineStr">
        <is>
          <t>EBITDA</t>
        </is>
      </c>
      <c r="B56" s="16" t="n"/>
      <c r="C56" s="17">
        <f>C54+C55</f>
        <v/>
      </c>
      <c r="D56" s="17">
        <f>D54+D55</f>
        <v/>
      </c>
      <c r="E56" s="17">
        <f>C56+D56</f>
        <v/>
      </c>
      <c r="F56" s="18">
        <f>IF(C56=0,"",D56/ABS(C56))</f>
        <v/>
      </c>
    </row>
    <row r="57">
      <c r="A57" s="7" t="inlineStr">
        <is>
          <t>Add back R&amp;D stock comp - 6020</t>
        </is>
      </c>
      <c r="C57" s="8" t="n">
        <v>257329.04</v>
      </c>
      <c r="D57" s="8" t="n">
        <v>-0</v>
      </c>
      <c r="E57" s="8">
        <f>C57+D57</f>
        <v/>
      </c>
    </row>
    <row r="58">
      <c r="A58" s="7" t="inlineStr">
        <is>
          <t>Add back S&amp;M stock comp - 7020</t>
        </is>
      </c>
      <c r="C58" s="8" t="n">
        <v>171552.7</v>
      </c>
      <c r="D58" s="8" t="n">
        <v>-0</v>
      </c>
      <c r="E58" s="8">
        <f>C58+D58</f>
        <v/>
      </c>
    </row>
    <row r="59">
      <c r="A59" s="7" t="inlineStr">
        <is>
          <t>Add back G&amp;A stock comp - 8020</t>
        </is>
      </c>
      <c r="C59" s="8" t="n">
        <v>214440.87</v>
      </c>
      <c r="D59" s="8" t="n">
        <v>-0</v>
      </c>
      <c r="E59" s="8">
        <f>C59+D59</f>
        <v/>
      </c>
    </row>
    <row r="60">
      <c r="A60" s="7" t="inlineStr">
        <is>
          <t>Add back Depreciation - 8080</t>
        </is>
      </c>
      <c r="C60" s="8" t="n">
        <v>55380</v>
      </c>
      <c r="D60" s="8" t="n">
        <v>-0</v>
      </c>
      <c r="E60" s="8">
        <f>C60+D60</f>
        <v/>
      </c>
    </row>
    <row r="61">
      <c r="A61" s="15" t="inlineStr">
        <is>
          <t>ADJUSTED EBITDA</t>
        </is>
      </c>
      <c r="B61" s="16" t="n"/>
      <c r="C61" s="17">
        <f>C56+C57+C58+C59+C60</f>
        <v/>
      </c>
      <c r="D61" s="17">
        <f>D56+D57+D58+D59+D60</f>
        <v/>
      </c>
      <c r="E61" s="17">
        <f>C61+D61</f>
        <v/>
      </c>
      <c r="F61" s="18">
        <f>IF(C61=0,"",D61/ABS(C61))</f>
        <v/>
      </c>
    </row>
    <row r="62">
      <c r="A62" s="19" t="inlineStr">
        <is>
          <t xml:space="preserve">   Adjusted EBITDA margin %</t>
        </is>
      </c>
      <c r="C62" s="20">
        <f>IF(C13=0,"",C61/C13)</f>
        <v/>
      </c>
      <c r="E62" s="20">
        <f>IF(E13=0,"",E61/E13)</f>
        <v/>
      </c>
      <c r="F62" s="21">
        <f>IF(OR(C13=0,E13=0),"",(E61/E13-C61/C13)*100)</f>
        <v/>
      </c>
      <c r="H62" s="19" t="inlineStr">
        <is>
          <t>Move in points, not the percentage variance in the column above.</t>
        </is>
      </c>
    </row>
    <row r="65">
      <c r="A65" s="6" t="inlineStr">
        <is>
          <t>EXCLUDED - ABSORBED BY THE QUARTER</t>
        </is>
      </c>
      <c r="B65" s="23" t="n"/>
      <c r="C65" s="23" t="n"/>
      <c r="D65" s="23" t="n"/>
      <c r="E65" s="23" t="n"/>
      <c r="F65" s="23" t="n"/>
      <c r="G65" s="23" t="n"/>
      <c r="H65" s="23" t="n"/>
      <c r="I65" s="23" t="n"/>
    </row>
    <row r="66">
      <c r="A66" s="19" t="inlineStr">
        <is>
          <t>These lines carry a January variance and move the forecast by nothing, because the remaining months of the quarter take them back. Each names what absorbs it.</t>
        </is>
      </c>
    </row>
    <row r="68">
      <c r="A68" s="24" t="inlineStr">
        <is>
          <t>Line</t>
        </is>
      </c>
      <c r="C68" s="24" t="inlineStr">
        <is>
          <t>January variance</t>
        </is>
      </c>
      <c r="H68" s="24" t="inlineStr">
        <is>
          <t>What absorbs it</t>
        </is>
      </c>
    </row>
    <row r="69">
      <c r="A69" s="7" t="inlineStr">
        <is>
          <t>6040 R&amp;D - software and developer tools / Datadog, Inc.</t>
        </is>
      </c>
      <c r="C69" s="8" t="n">
        <v>-48897.36</v>
      </c>
      <c r="H69" s="10" t="inlineStr">
        <is>
          <t>One-time. Duplicate invoice USD 47,200 for service period 2025-12, paid twice and recorded not adjusted because the period is closed; underlying January bill is USD 21,335.68 against a USD 20,597 plan</t>
        </is>
      </c>
    </row>
    <row r="70">
      <c r="A70" s="7" t="inlineStr">
        <is>
          <t>8100 G&amp;A - taxes, licenses and fees / Delaware Division of Corporation</t>
        </is>
      </c>
      <c r="C70" s="8" t="n">
        <v>36558.5</v>
      </c>
      <c r="H70" s="10" t="inlineStr">
        <is>
          <t>Timing. Delaware franchise tax invoiced in full at USD 39,882 on 6 Jan and spread over the year it covers by ADJ-2026-01-010; the plan expensed the whole amount in January (Dec run rate USD 7,820 x calendar factor 5.1). Nothing was saved - the release is USD 3,323.50 a month for the next eleven months.</t>
        </is>
      </c>
    </row>
    <row r="71">
      <c r="A71" s="7" t="inlineStr">
        <is>
          <t>7080 S&amp;M - agencies and contractors / Meridian Brand Agency</t>
        </is>
      </c>
      <c r="C71" s="8" t="n">
        <v>-25295.72</v>
      </c>
      <c r="H71" s="10" t="inlineStr">
        <is>
          <t>Accrual artifact. Two charges in one month against one contracted retainer. BILL-202601-6248 posted USD 18,910.80 on 2026-01-22 for 'Creative agency - 2026-01', and ADJ-2026-01-005 (JE-202601-04443) then accrued a further USD 24,800 described as the January creative retainer, on support MBA-26-0114 dated 2026-01-29 that appears in no AP record. Vendor master VEN-0047 is monthly cadence and FY25 spend of USD 216,000 is twelve bills averaging USD 18,000; the ledger shows exactly one bill a month for twenty-two consecutive months. Underlying retainer variance is USD 496 unfavorable, which is run-rate. The accrual is scheduled to reverse in 2026-02.</t>
        </is>
      </c>
    </row>
    <row r="72">
      <c r="A72" s="7" t="inlineStr">
        <is>
          <t>6000 R&amp;D - salaries and wages / (no vendor - internal entry) - hire ti</t>
        </is>
      </c>
      <c r="C72" s="8" t="n">
        <v>23970.35</v>
      </c>
      <c r="H72" s="10" t="inlineStr">
        <is>
          <t>Timing. Farah Coulter started 2026-01-20 (0.3871 FTE month, +10,245) and Bram Pereira 2026-01-26 (0.1935 FTE month, +13,725); both run full months from February</t>
        </is>
      </c>
    </row>
    <row r="73">
      <c r="A73" s="7" t="inlineStr">
        <is>
          <t>4020 Professional services revenue / (customer billing)</t>
        </is>
      </c>
      <c r="C73" s="8" t="n">
        <v>4565.35</v>
      </c>
      <c r="H73" s="10" t="inlineStr">
        <is>
          <t>Timing. Milestone delivery landed USD 4,565 ahead of the planned schedule on a line with a coefficient of variation of 0.503. Against the trailing 3-month average of USD 120,458 the month is down USD 23,892, which is calendar, not trend.</t>
        </is>
      </c>
    </row>
    <row r="74">
      <c r="A74" s="7" t="inlineStr">
        <is>
          <t>7060 S&amp;M - software and tools / All other agreements (six vendors)</t>
        </is>
      </c>
      <c r="C74" s="8" t="n">
        <v>3684.07</v>
      </c>
      <c r="H74" s="10" t="inlineStr">
        <is>
          <t>Timing. Every non-Gong agreement in 7060 is favorable by exactly 9.55 percent - Clearscope, HubSpot, Salesforce, Sprout Social, Webflow and ZoomInfo, plus Chorus and Lucid above. A single identical percentage across eight independent contracts is a release-convention artifact, not eight separate savings. It offsets most of the Gong uplift at the account level (7060 total unfavorable only USD 832 against a Gong uplift of USD 6,156), which is exactly how a real cost increase gets hidden in an account subtotal.</t>
        </is>
      </c>
    </row>
    <row r="75">
      <c r="A75" s="7" t="inlineStr">
        <is>
          <t>6030 R&amp;D - contractors / Thoughtbolt Engineering LLC</t>
        </is>
      </c>
      <c r="C75" s="8" t="n">
        <v>-1021.02</v>
      </c>
      <c r="H75" s="10" t="inlineStr">
        <is>
          <t>Volume-driven. Invoiced hours USD 25,525.50 (in line with the December run rate of USD 24,310) plus a USD 16,200 accrual for January hours on TBE-0126 - the whole overrun is the accrual</t>
        </is>
      </c>
    </row>
    <row r="76">
      <c r="A76" s="7" t="inlineStr">
        <is>
          <t>7050 S&amp;M - events and conferences / Freeman, Goldcast, Informa</t>
        </is>
      </c>
      <c r="C76" s="8" t="n">
        <v>672</v>
      </c>
      <c r="H76" s="10" t="inlineStr">
        <is>
          <t>Timing. Calendar-driven, not a trend. The plan itself ramps across Q1 (Jan USD 8,400, Feb USD 11,760, Mar USD 26,880) because the named event calendar puts the Q1 event in March. Trailing three-month average of USD 21,467 is inflated by Q4-2025 events; the trend file flags the line bumpy (CoV 0.83) and says so. January is on the calendar and on plan.</t>
        </is>
      </c>
    </row>
    <row r="77">
      <c r="A77" s="7" t="inlineStr">
        <is>
          <t>8050 G&amp;A - software and tools / Okta, Inc.</t>
        </is>
      </c>
      <c r="C77" s="8" t="n">
        <v>0</v>
      </c>
      <c r="H77" s="10" t="inlineStr">
        <is>
          <t>Accrual artifact. Not a saving. Every one of the eight prepaid-released G&amp;A subscriptions is favorable by exactly 40.97 percent - the release is 59.03 percent of contracted ACV/12 on all eight, to five decimal places. One common factor, so one common cause: the prepaid amortization schedule is releasing below the contracted rate. The agreement (SWA-0065) is a 12-month term at USD 92,000 with 0 percent uplift and the sole 8050 posting for this vendor is the prepaid release, so ACV/12 is the correct monthly charge. Licenses active 97 of 120. Under-release understates expense now and leaves a prepaid balance that will not extinguish at term end.</t>
        </is>
      </c>
    </row>
    <row r="78">
      <c r="A78" s="7" t="inlineStr">
        <is>
          <t>8050 G&amp;A - software and tools / Slack (Salesforce)</t>
        </is>
      </c>
      <c r="C78" s="8" t="n">
        <v>0</v>
      </c>
      <c r="H78" s="10" t="inlineStr">
        <is>
          <t>Accrual artifact. Not a saving. Every one of the eight prepaid-released G&amp;A subscriptions is favorable by exactly 40.97 percent - the release is 59.03 percent of contracted ACV/12 on all eight, to five decimal places. One common factor, so one common cause: the prepaid amortization schedule is releasing below the contracted rate. The agreement (SWA-0069) is a 12-month term at USD 78,000 with 0 percent uplift and the sole 8050 posting for this vendor is the prepaid release, so ACV/12 is the correct monthly charge. Licenses active 143 of 180. Under-release understates expense now and leaves a prepaid balance that will not extinguish at term end.</t>
        </is>
      </c>
    </row>
    <row r="79">
      <c r="A79" s="7" t="inlineStr">
        <is>
          <t>8050 G&amp;A - software and tools / CrowdStrike, Inc.</t>
        </is>
      </c>
      <c r="C79" s="8" t="n">
        <v>0</v>
      </c>
      <c r="H79" s="10" t="inlineStr">
        <is>
          <t>Accrual artifact. Not a saving. Every one of the eight prepaid-released G&amp;A subscriptions is favorable by exactly 40.97 percent - the release is 59.03 percent of contracted ACV/12 on all eight, to five decimal places. One common factor, so one common cause: the prepaid amortization schedule is releasing below the contracted rate. The agreement (SWA-0067) is a 12-month term at USD 64,000 with 0 percent uplift and the sole 8050 posting for this vendor is the prepaid release, so ACV/12 is the correct monthly charge. Licenses active not seat-based. Under-release understates expense now and leaves a prepaid balance that will not extinguish at term end.</t>
        </is>
      </c>
    </row>
    <row r="80">
      <c r="A80" s="7" t="inlineStr">
        <is>
          <t>8050 G&amp;A - software and tools / Vanta Inc.</t>
        </is>
      </c>
      <c r="C80" s="8" t="n">
        <v>0</v>
      </c>
      <c r="H80" s="10" t="inlineStr">
        <is>
          <t>Accrual artifact. Not a saving. Every one of the eight prepaid-released G&amp;A subscriptions is favorable by exactly 40.97 percent - the release is 59.03 percent of contracted ACV/12 on all eight, to five decimal places. One common factor, so one common cause: the prepaid amortization schedule is releasing below the contracted rate. The agreement (SWA-0064) is a 12-month term at USD 38,000 with 0 percent uplift and the sole 8050 posting for this vendor is the prepaid release, so ACV/12 is the correct monthly charge. Licenses active not seat-based. Under-release understates expense now and leaves a prepaid balance that will not extinguish at term end.</t>
        </is>
      </c>
    </row>
    <row r="81">
      <c r="A81" s="7" t="inlineStr">
        <is>
          <t>8050 G&amp;A - software and tools / Zoom Communications</t>
        </is>
      </c>
      <c r="C81" s="8" t="n">
        <v>0</v>
      </c>
      <c r="H81" s="10" t="inlineStr">
        <is>
          <t>Accrual artifact. Not a saving. Every one of the eight prepaid-released G&amp;A subscriptions is favorable by exactly 40.97 percent - the release is 59.03 percent of contracted ACV/12 on all eight, to five decimal places. One common factor, so one common cause: the prepaid amortization schedule is releasing below the contracted rate. The agreement (SWA-0071) is a 12-month term at USD 34,000 with 0 percent uplift and the sole 8050 posting for this vendor is the prepaid release, so ACV/12 is the correct monthly charge. Licenses active 31 of 45. Under-release understates expense now and leaves a prepaid balance that will not extinguish at term end.</t>
        </is>
      </c>
    </row>
    <row r="82">
      <c r="A82" s="7" t="inlineStr">
        <is>
          <t>8050 G&amp;A - software and tools / Notion Labs, Inc.</t>
        </is>
      </c>
      <c r="C82" s="8" t="n">
        <v>0</v>
      </c>
      <c r="H82" s="10" t="inlineStr">
        <is>
          <t>Accrual artifact. Not a saving. Every one of the eight prepaid-released G&amp;A subscriptions is favorable by exactly 40.97 percent - the release is 59.03 percent of contracted ACV/12 on all eight, to five decimal places. One common factor, so one common cause: the prepaid amortization schedule is releasing below the contracted rate. The agreement (SWA-0068) is a 12-month term at USD 31,000 with 0 percent uplift and the sole 8050 posting for this vendor is the prepaid release, so ACV/12 is the correct monthly charge. Licenses active 51 of 60. Under-release understates expense now and leaves a prepaid balance that will not extinguish at term end.</t>
        </is>
      </c>
    </row>
    <row r="83">
      <c r="A83" s="7" t="inlineStr">
        <is>
          <t>8050 G&amp;A - software and tools / 1Password (AgileBits)</t>
        </is>
      </c>
      <c r="C83" s="8" t="n">
        <v>0</v>
      </c>
      <c r="H83" s="10" t="inlineStr">
        <is>
          <t>Accrual artifact. Not a saving. Every one of the eight prepaid-released G&amp;A subscriptions is favorable by exactly 40.97 percent - the release is 59.03 percent of contracted ACV/12 on all eight, to five decimal places. One common factor, so one common cause: the prepaid amortization schedule is releasing below the contracted rate. The agreement (SWA-0066) is a 12-month term at USD 21,000 with 0 percent uplift and the sole 8050 posting for this vendor is the prepaid release, so ACV/12 is the correct monthly charge. Licenses active not seat-based. Under-release understates expense now and leaves a prepaid balance that will not extinguish at term end.</t>
        </is>
      </c>
    </row>
    <row r="84">
      <c r="A84" s="7" t="inlineStr">
        <is>
          <t>8050 G&amp;A - software and tools / BILL Operations, LLC</t>
        </is>
      </c>
      <c r="C84" s="8" t="n">
        <v>0</v>
      </c>
      <c r="H84" s="10" t="inlineStr">
        <is>
          <t>Accrual artifact. Not a saving. Every one of the eight prepaid-released G&amp;A subscriptions is favorable by exactly 40.97 percent - the release is 59.03 percent of contracted ACV/12 on all eight, to five decimal places. One common factor, so one common cause: the prepaid amortization schedule is releasing below the contracted rate. The agreement (SWA-0074) is a 12-month term at USD 18,000 with 0 percent uplift and the sole 8050 posting for this vendor is the prepaid release, so ACV/12 is the correct monthly charge. Licenses active 98 of 140. Under-release understates expense now and leaves a prepaid balance that will not extinguish at term end.</t>
        </is>
      </c>
    </row>
  </sheetData>
  <mergeCells count="1">
    <mergeCell ref="A66:I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04" customWidth="1" min="2" max="2"/>
  </cols>
  <sheetData>
    <row r="1">
      <c r="A1" s="25" t="inlineStr">
        <is>
          <t>How this LBE was struck</t>
        </is>
      </c>
    </row>
    <row r="3" ht="15" customHeight="1">
      <c r="A3" s="19" t="inlineStr"/>
      <c r="B3" s="26" t="inlineStr"/>
    </row>
    <row r="4" ht="26" customHeight="1">
      <c r="A4" s="27" t="inlineStr">
        <is>
          <t>The identity</t>
        </is>
      </c>
      <c r="B4" s="26" t="inlineStr">
        <is>
          <t>LBE = Fcst Q1 + Variance. The Variance column is the roll-up of the January flux analysis's forward implications, one per classified line.</t>
        </is>
      </c>
    </row>
    <row r="5" ht="26" customHeight="1">
      <c r="A5" s="27" t="inlineStr">
        <is>
          <t>The two halves</t>
        </is>
      </c>
      <c r="B5" s="26" t="inlineStr">
        <is>
          <t>A closed month and an open month are not the same kind of fact and the page does not merge them.</t>
        </is>
      </c>
    </row>
    <row r="6" ht="26" customHeight="1">
      <c r="A6" s="19" t="inlineStr">
        <is>
          <t xml:space="preserve">   sticks</t>
        </is>
      </c>
      <c r="B6" s="26" t="inlineStr">
        <is>
          <t>The January variance survives to the quarter close. It is in the ledger. The only question was whether the quarter absorbs it, and it does not.</t>
        </is>
      </c>
    </row>
    <row r="7" ht="26" customHeight="1">
      <c r="A7" s="19" t="inlineStr">
        <is>
          <t xml:space="preserve">   absorbed</t>
        </is>
      </c>
      <c r="B7" s="26" t="inlineStr">
        <is>
          <t>The remaining months take it back. The forecast does not move, and the line is listed in the excluded block with the thing that absorbs it.</t>
        </is>
      </c>
    </row>
    <row r="8" ht="26" customHeight="1">
      <c r="A8" s="19" t="inlineStr">
        <is>
          <t xml:space="preserve">   materializes</t>
        </is>
      </c>
      <c r="B8" s="26" t="inlineStr">
        <is>
          <t>A further deviation is expected in February and March. This is a forecast, not a fact, and it is stated separately for that reason.</t>
        </is>
      </c>
    </row>
    <row r="9" ht="15" customHeight="1">
      <c r="A9" s="19" t="inlineStr"/>
      <c r="B9" s="26" t="inlineStr"/>
    </row>
    <row r="10" ht="39" customHeight="1">
      <c r="A10" s="27" t="inlineStr">
        <is>
          <t>The test</t>
        </is>
      </c>
      <c r="B10" s="26" t="inlineStr">
        <is>
          <t>Not whether the variance recurs. Whether the rest of the quarter absorbs it. A variance can happen once and still be sitting there at the quarter close, and it can repeat every month and still net to nothing.</t>
        </is>
      </c>
    </row>
    <row r="11" ht="15" customHeight="1">
      <c r="A11" s="19" t="inlineStr"/>
      <c r="B11" s="26" t="inlineStr"/>
    </row>
    <row r="12" ht="39" customHeight="1">
      <c r="A12" s="27" t="inlineStr">
        <is>
          <t>Owner questions</t>
        </is>
      </c>
      <c r="B12" s="26" t="inlineStr">
        <is>
          <t>Where an owner question is open, the LBE carries the point estimate at the question's stated default and the comment flags the open item. A default is a decision, so it is on the page rather than in a footnote.</t>
        </is>
      </c>
    </row>
    <row r="13" ht="39" customHeight="1">
      <c r="A13" s="27" t="inlineStr">
        <is>
          <t>Cost center split</t>
        </is>
      </c>
      <c r="B13" s="26" t="inlineStr">
        <is>
          <t>Opex is shown by cost center owner. Where a finding sits on an account and vendor that span centers, its effect is split on the same proportions the January ledger shows for that pair - derived, not assumed.</t>
        </is>
      </c>
    </row>
    <row r="14" ht="15" customHeight="1">
      <c r="A14" s="19" t="inlineStr"/>
      <c r="B14" s="26" t="inlineStr"/>
    </row>
    <row r="15" ht="39" customHeight="1">
      <c r="A15" s="27" t="inlineStr">
        <is>
          <t>What this is not</t>
        </is>
      </c>
      <c r="B15" s="26" t="inlineStr">
        <is>
          <t>The LBE is never a variance benchmark. The plan of record is the only comparator in any variance column, in this pack or any other. A soft forecast used as a target lets a miss disappear without anyone deciding it should.</t>
        </is>
      </c>
    </row>
    <row r="16" ht="26" customHeight="1">
      <c r="A16" s="27" t="inlineStr">
        <is>
          <t>Back-test</t>
        </is>
      </c>
      <c r="B16" s="26" t="inlineStr">
        <is>
          <t>This build is stamped and retained. At the Q1 close it is scored against the actual landing, and against the M2 build, which should beat it - later information.</t>
        </is>
      </c>
    </row>
    <row r="18">
      <c r="A18" s="28" t="inlineStr">
        <is>
          <t>The quarter, in two numbers</t>
        </is>
      </c>
    </row>
    <row r="19">
      <c r="A19" s="7" t="inlineStr">
        <is>
          <t>Sticks - January fact carried to the quarter close</t>
        </is>
      </c>
      <c r="B19" s="29" t="n">
        <v>-26522.03</v>
      </c>
    </row>
    <row r="20">
      <c r="A20" s="7" t="inlineStr">
        <is>
          <t>Materializes - expected further deviation, Feb and Mar</t>
        </is>
      </c>
      <c r="B20" s="29" t="n">
        <v>-53486.23</v>
      </c>
    </row>
    <row r="21">
      <c r="A21" s="7" t="inlineStr">
        <is>
          <t>Total effect on the Q1 operating result</t>
        </is>
      </c>
      <c r="B21" s="30" t="n">
        <v>-116733.4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38" customWidth="1" min="3" max="3"/>
    <col width="13" customWidth="1" min="4" max="4"/>
    <col width="13" customWidth="1" min="5" max="5"/>
    <col width="13" customWidth="1" min="6" max="6"/>
    <col width="15" customWidth="1" min="7" max="7"/>
    <col width="24" customWidth="1" min="8" max="8"/>
    <col width="104" customWidth="1" min="9" max="9"/>
    <col width="9" customWidth="1" min="10" max="10"/>
  </cols>
  <sheetData>
    <row r="1">
      <c r="A1" s="25" t="inlineStr">
        <is>
          <t>Q1 2026 LBE, by account and month - ratified</t>
        </is>
      </c>
    </row>
    <row r="2">
      <c r="A2" s="19" t="inlineStr">
        <is>
          <t>January is closed and carries the actual. February and March start at plan and move only where a January finding gives a basis; a line with no basis reverts to the plan, because the absence of a view is not a view.</t>
        </is>
      </c>
    </row>
    <row r="4" ht="24" customHeight="1">
      <c r="A4" s="5" t="inlineStr">
        <is>
          <t>Period</t>
        </is>
      </c>
      <c r="B4" s="5" t="inlineStr">
        <is>
          <t>Account</t>
        </is>
      </c>
      <c r="C4" s="5" t="inlineStr">
        <is>
          <t>Account name</t>
        </is>
      </c>
      <c r="D4" s="5" t="inlineStr">
        <is>
          <t>Plan</t>
        </is>
      </c>
      <c r="E4" s="5" t="inlineStr">
        <is>
          <t>Actual</t>
        </is>
      </c>
      <c r="F4" s="5" t="inlineStr">
        <is>
          <t>LBE</t>
        </is>
      </c>
      <c r="G4" s="5" t="inlineStr">
        <is>
          <t>Variance to plan</t>
        </is>
      </c>
      <c r="H4" s="5" t="inlineStr">
        <is>
          <t>Owner</t>
        </is>
      </c>
      <c r="I4" s="5" t="inlineStr">
        <is>
          <t>Basis</t>
        </is>
      </c>
      <c r="J4" s="5" t="inlineStr">
        <is>
          <t>Ratified</t>
        </is>
      </c>
    </row>
    <row r="5">
      <c r="A5" s="7" t="inlineStr">
        <is>
          <t>2026-01</t>
        </is>
      </c>
      <c r="B5" s="7" t="inlineStr">
        <is>
          <t>4000</t>
        </is>
      </c>
      <c r="C5" s="7" t="inlineStr">
        <is>
          <t>Subscription revenue - platform</t>
        </is>
      </c>
      <c r="D5" s="8" t="n">
        <v>-1537543.03</v>
      </c>
      <c r="E5" s="8" t="n">
        <v>-1518870.36</v>
      </c>
      <c r="F5" s="8" t="n">
        <v>-1518870.36</v>
      </c>
      <c r="G5" s="8">
        <f>F5-D5</f>
        <v/>
      </c>
      <c r="H5" s="7" t="inlineStr">
        <is>
          <t>VP Sales</t>
        </is>
      </c>
      <c r="I5" s="10" t="inlineStr">
        <is>
          <t>Closed month - actual</t>
        </is>
      </c>
      <c r="J5" s="7" t="inlineStr">
        <is>
          <t>Y</t>
        </is>
      </c>
    </row>
    <row r="6">
      <c r="A6" s="7" t="inlineStr">
        <is>
          <t>2026-01</t>
        </is>
      </c>
      <c r="B6" s="7" t="inlineStr">
        <is>
          <t>4010</t>
        </is>
      </c>
      <c r="C6" s="7" t="inlineStr">
        <is>
          <t>Usage revenue - overage</t>
        </is>
      </c>
      <c r="D6" s="8" t="n">
        <v>-209105.85</v>
      </c>
      <c r="E6" s="8" t="n">
        <v>-149825.87</v>
      </c>
      <c r="F6" s="8" t="n">
        <v>-149825.87</v>
      </c>
      <c r="G6" s="8">
        <f>F6-D6</f>
        <v/>
      </c>
      <c r="H6" s="7" t="inlineStr">
        <is>
          <t>Dir. RevOps</t>
        </is>
      </c>
      <c r="I6" s="10" t="inlineStr">
        <is>
          <t>Closed month - actual</t>
        </is>
      </c>
      <c r="J6" s="7" t="inlineStr">
        <is>
          <t>Y</t>
        </is>
      </c>
    </row>
    <row r="7">
      <c r="A7" s="7" t="inlineStr">
        <is>
          <t>2026-01</t>
        </is>
      </c>
      <c r="B7" s="7" t="inlineStr">
        <is>
          <t>4020</t>
        </is>
      </c>
      <c r="C7" s="7" t="inlineStr">
        <is>
          <t>Professional services revenue</t>
        </is>
      </c>
      <c r="D7" s="8" t="n">
        <v>-92000</v>
      </c>
      <c r="E7" s="8" t="n">
        <v>-96565.35000000001</v>
      </c>
      <c r="F7" s="8" t="n">
        <v>-96565.35000000001</v>
      </c>
      <c r="G7" s="8">
        <f>F7-D7</f>
        <v/>
      </c>
      <c r="H7" s="7" t="inlineStr">
        <is>
          <t>Dir. Professional Services</t>
        </is>
      </c>
      <c r="I7" s="10" t="inlineStr">
        <is>
          <t>Closed month - actual</t>
        </is>
      </c>
      <c r="J7" s="7" t="inlineStr">
        <is>
          <t>Y</t>
        </is>
      </c>
    </row>
    <row r="8">
      <c r="A8" s="7" t="inlineStr">
        <is>
          <t>2026-01</t>
        </is>
      </c>
      <c r="B8" s="7" t="inlineStr">
        <is>
          <t>4030</t>
        </is>
      </c>
      <c r="C8" s="7" t="inlineStr">
        <is>
          <t>Other revenue</t>
        </is>
      </c>
      <c r="D8" s="8" t="n">
        <v>-8000</v>
      </c>
      <c r="E8" s="8" t="n">
        <v>-9725.870000000001</v>
      </c>
      <c r="F8" s="8" t="n">
        <v>-9725.870000000001</v>
      </c>
      <c r="G8" s="8">
        <f>F8-D8</f>
        <v/>
      </c>
      <c r="H8" s="7" t="inlineStr">
        <is>
          <t>VP Customer Success</t>
        </is>
      </c>
      <c r="I8" s="10" t="inlineStr">
        <is>
          <t>Closed month - actual</t>
        </is>
      </c>
      <c r="J8" s="7" t="inlineStr">
        <is>
          <t>Y</t>
        </is>
      </c>
    </row>
    <row r="9">
      <c r="A9" s="7" t="inlineStr">
        <is>
          <t>2026-01</t>
        </is>
      </c>
      <c r="B9" s="7" t="inlineStr">
        <is>
          <t>4090</t>
        </is>
      </c>
      <c r="C9" s="7" t="inlineStr">
        <is>
          <t>Contra revenue - credits and refunds</t>
        </is>
      </c>
      <c r="D9" s="8" t="n">
        <v>2000</v>
      </c>
      <c r="E9" s="8" t="n">
        <v>4634.69</v>
      </c>
      <c r="F9" s="8" t="n">
        <v>4634.69</v>
      </c>
      <c r="G9" s="8">
        <f>F9-D9</f>
        <v/>
      </c>
      <c r="H9" s="7" t="inlineStr">
        <is>
          <t>VP Customer Success</t>
        </is>
      </c>
      <c r="I9" s="10" t="inlineStr">
        <is>
          <t>Closed month - actual</t>
        </is>
      </c>
      <c r="J9" s="7" t="inlineStr">
        <is>
          <t>Y</t>
        </is>
      </c>
    </row>
    <row r="10">
      <c r="A10" s="7" t="inlineStr">
        <is>
          <t>2026-01</t>
        </is>
      </c>
      <c r="B10" s="7" t="inlineStr">
        <is>
          <t>5000</t>
        </is>
      </c>
      <c r="C10" s="7" t="inlineStr">
        <is>
          <t>COGS - model and inference API</t>
        </is>
      </c>
      <c r="D10" s="8" t="n">
        <v>109559.99</v>
      </c>
      <c r="E10" s="8" t="n">
        <v>122061.27</v>
      </c>
      <c r="F10" s="8" t="n">
        <v>122061.27</v>
      </c>
      <c r="G10" s="8">
        <f>F10-D10</f>
        <v/>
      </c>
      <c r="H10" s="7" t="inlineStr">
        <is>
          <t>Head of Infrastructure</t>
        </is>
      </c>
      <c r="I10" s="10" t="inlineStr">
        <is>
          <t>Closed month - actual</t>
        </is>
      </c>
      <c r="J10" s="7" t="inlineStr">
        <is>
          <t>Y</t>
        </is>
      </c>
    </row>
    <row r="11">
      <c r="A11" s="7" t="inlineStr">
        <is>
          <t>2026-01</t>
        </is>
      </c>
      <c r="B11" s="7" t="inlineStr">
        <is>
          <t>5010</t>
        </is>
      </c>
      <c r="C11" s="7" t="inlineStr">
        <is>
          <t>COGS - cloud hosting and storage</t>
        </is>
      </c>
      <c r="D11" s="8" t="n">
        <v>107522.5</v>
      </c>
      <c r="E11" s="8" t="n">
        <v>106453.6</v>
      </c>
      <c r="F11" s="8" t="n">
        <v>106453.6</v>
      </c>
      <c r="G11" s="8">
        <f>F11-D11</f>
        <v/>
      </c>
      <c r="H11" s="7" t="inlineStr">
        <is>
          <t>Head of Infrastructure</t>
        </is>
      </c>
      <c r="I11" s="10" t="inlineStr">
        <is>
          <t>Closed month - actual</t>
        </is>
      </c>
      <c r="J11" s="7" t="inlineStr">
        <is>
          <t>Y</t>
        </is>
      </c>
    </row>
    <row r="12">
      <c r="A12" s="7" t="inlineStr">
        <is>
          <t>2026-01</t>
        </is>
      </c>
      <c r="B12" s="7" t="inlineStr">
        <is>
          <t>5020</t>
        </is>
      </c>
      <c r="C12" s="7" t="inlineStr">
        <is>
          <t>COGS - dedicated GPU compute</t>
        </is>
      </c>
      <c r="D12" s="8" t="n">
        <v>39000</v>
      </c>
      <c r="E12" s="8" t="n">
        <v>39000</v>
      </c>
      <c r="F12" s="8" t="n">
        <v>39000</v>
      </c>
      <c r="G12" s="8">
        <f>F12-D12</f>
        <v/>
      </c>
      <c r="H12" s="7" t="inlineStr"/>
      <c r="I12" s="10" t="inlineStr">
        <is>
          <t>Closed month - actual</t>
        </is>
      </c>
      <c r="J12" s="7" t="inlineStr">
        <is>
          <t>Y</t>
        </is>
      </c>
    </row>
    <row r="13">
      <c r="A13" s="7" t="inlineStr">
        <is>
          <t>2026-01</t>
        </is>
      </c>
      <c r="B13" s="7" t="inlineStr">
        <is>
          <t>5030</t>
        </is>
      </c>
      <c r="C13" s="7" t="inlineStr">
        <is>
          <t>COGS - third-party data and APIs</t>
        </is>
      </c>
      <c r="D13" s="8" t="n">
        <v>22916.68</v>
      </c>
      <c r="E13" s="8" t="n">
        <v>24146.8</v>
      </c>
      <c r="F13" s="8" t="n">
        <v>24146.8</v>
      </c>
      <c r="G13" s="8">
        <f>F13-D13</f>
        <v/>
      </c>
      <c r="H13" s="7" t="inlineStr">
        <is>
          <t>Head of Infrastructure</t>
        </is>
      </c>
      <c r="I13" s="10" t="inlineStr">
        <is>
          <t>Closed month - actual</t>
        </is>
      </c>
      <c r="J13" s="7" t="inlineStr">
        <is>
          <t>Y</t>
        </is>
      </c>
    </row>
    <row r="14">
      <c r="A14" s="7" t="inlineStr">
        <is>
          <t>2026-01</t>
        </is>
      </c>
      <c r="B14" s="7" t="inlineStr">
        <is>
          <t>5040</t>
        </is>
      </c>
      <c r="C14" s="7" t="inlineStr">
        <is>
          <t>COGS - support payroll</t>
        </is>
      </c>
      <c r="D14" s="8" t="n">
        <v>55000</v>
      </c>
      <c r="E14" s="8" t="n">
        <v>36164.22</v>
      </c>
      <c r="F14" s="8" t="n">
        <v>36164.22</v>
      </c>
      <c r="G14" s="8">
        <f>F14-D14</f>
        <v/>
      </c>
      <c r="H14" s="7" t="inlineStr">
        <is>
          <t>VP Customer Success</t>
        </is>
      </c>
      <c r="I14" s="10" t="inlineStr">
        <is>
          <t>Closed month - actual</t>
        </is>
      </c>
      <c r="J14" s="7" t="inlineStr">
        <is>
          <t>Y</t>
        </is>
      </c>
    </row>
    <row r="15">
      <c r="A15" s="7" t="inlineStr">
        <is>
          <t>2026-01</t>
        </is>
      </c>
      <c r="B15" s="7" t="inlineStr">
        <is>
          <t>5050</t>
        </is>
      </c>
      <c r="C15" s="7" t="inlineStr">
        <is>
          <t>COGS - professional services payroll</t>
        </is>
      </c>
      <c r="D15" s="8" t="n">
        <v>55000</v>
      </c>
      <c r="E15" s="8" t="n">
        <v>56565.25</v>
      </c>
      <c r="F15" s="8" t="n">
        <v>56565.25</v>
      </c>
      <c r="G15" s="8">
        <f>F15-D15</f>
        <v/>
      </c>
      <c r="H15" s="7" t="inlineStr">
        <is>
          <t>Dir. Professional Services</t>
        </is>
      </c>
      <c r="I15" s="10" t="inlineStr">
        <is>
          <t>Closed month - actual</t>
        </is>
      </c>
      <c r="J15" s="7" t="inlineStr">
        <is>
          <t>Y</t>
        </is>
      </c>
    </row>
    <row r="16">
      <c r="A16" s="7" t="inlineStr">
        <is>
          <t>2026-01</t>
        </is>
      </c>
      <c r="B16" s="7" t="inlineStr">
        <is>
          <t>5060</t>
        </is>
      </c>
      <c r="C16" s="7" t="inlineStr">
        <is>
          <t>COGS - delivery contractors</t>
        </is>
      </c>
      <c r="D16" s="8" t="n">
        <v>15968.1</v>
      </c>
      <c r="E16" s="8" t="n">
        <v>16442.4</v>
      </c>
      <c r="F16" s="8" t="n">
        <v>16442.4</v>
      </c>
      <c r="G16" s="8">
        <f>F16-D16</f>
        <v/>
      </c>
      <c r="H16" s="7" t="inlineStr">
        <is>
          <t>Dir. Professional Services</t>
        </is>
      </c>
      <c r="I16" s="10" t="inlineStr">
        <is>
          <t>Closed month - actual</t>
        </is>
      </c>
      <c r="J16" s="7" t="inlineStr">
        <is>
          <t>Y</t>
        </is>
      </c>
    </row>
    <row r="17">
      <c r="A17" s="7" t="inlineStr">
        <is>
          <t>2026-01</t>
        </is>
      </c>
      <c r="B17" s="7" t="inlineStr">
        <is>
          <t>5070</t>
        </is>
      </c>
      <c r="C17" s="7" t="inlineStr">
        <is>
          <t>COGS - amortization of capitalized software</t>
        </is>
      </c>
      <c r="D17" s="8" t="n">
        <v>44500</v>
      </c>
      <c r="E17" s="8" t="n">
        <v>43694.23</v>
      </c>
      <c r="F17" s="8" t="n">
        <v>43694.23</v>
      </c>
      <c r="G17" s="8">
        <f>F17-D17</f>
        <v/>
      </c>
      <c r="H17" s="7" t="inlineStr">
        <is>
          <t>VP Finance</t>
        </is>
      </c>
      <c r="I17" s="10" t="inlineStr">
        <is>
          <t>Closed month - actual</t>
        </is>
      </c>
      <c r="J17" s="7" t="inlineStr">
        <is>
          <t>Y</t>
        </is>
      </c>
    </row>
    <row r="18">
      <c r="A18" s="7" t="inlineStr">
        <is>
          <t>2026-01</t>
        </is>
      </c>
      <c r="B18" s="7" t="inlineStr">
        <is>
          <t>5080</t>
        </is>
      </c>
      <c r="C18" s="7" t="inlineStr">
        <is>
          <t>COGS - payment processing fees</t>
        </is>
      </c>
      <c r="D18" s="8" t="n">
        <v>11469.6</v>
      </c>
      <c r="E18" s="8" t="n">
        <v>7769</v>
      </c>
      <c r="F18" s="8" t="n">
        <v>7769</v>
      </c>
      <c r="G18" s="8">
        <f>F18-D18</f>
        <v/>
      </c>
      <c r="H18" s="7" t="inlineStr">
        <is>
          <t>VP Finance</t>
        </is>
      </c>
      <c r="I18" s="10" t="inlineStr">
        <is>
          <t>Closed month - actual</t>
        </is>
      </c>
      <c r="J18" s="7" t="inlineStr">
        <is>
          <t>Y</t>
        </is>
      </c>
    </row>
    <row r="19">
      <c r="A19" s="7" t="inlineStr">
        <is>
          <t>2026-01</t>
        </is>
      </c>
      <c r="B19" s="7" t="inlineStr">
        <is>
          <t>5090</t>
        </is>
      </c>
      <c r="C19" s="7" t="inlineStr">
        <is>
          <t>COGS - other</t>
        </is>
      </c>
      <c r="D19" s="8" t="n">
        <v>3584.28</v>
      </c>
      <c r="E19" s="8" t="n">
        <v>3677.1</v>
      </c>
      <c r="F19" s="8" t="n">
        <v>3677.1</v>
      </c>
      <c r="G19" s="8">
        <f>F19-D19</f>
        <v/>
      </c>
      <c r="H19" s="7" t="inlineStr">
        <is>
          <t>VP Finance</t>
        </is>
      </c>
      <c r="I19" s="10" t="inlineStr">
        <is>
          <t>Closed month - actual</t>
        </is>
      </c>
      <c r="J19" s="7" t="inlineStr">
        <is>
          <t>Y</t>
        </is>
      </c>
    </row>
    <row r="20">
      <c r="A20" s="7" t="inlineStr">
        <is>
          <t>2026-01</t>
        </is>
      </c>
      <c r="B20" s="7" t="inlineStr">
        <is>
          <t>6000</t>
        </is>
      </c>
      <c r="C20" s="7" t="inlineStr">
        <is>
          <t>R&amp;D - salaries and wages</t>
        </is>
      </c>
      <c r="D20" s="8" t="n">
        <v>648101.65</v>
      </c>
      <c r="E20" s="8" t="n">
        <v>557740.52</v>
      </c>
      <c r="F20" s="8" t="n">
        <v>557740.52</v>
      </c>
      <c r="G20" s="8">
        <f>F20-D20</f>
        <v/>
      </c>
      <c r="H20" s="7" t="inlineStr">
        <is>
          <t>Priya Raghavan (VP Engineering)</t>
        </is>
      </c>
      <c r="I20" s="10" t="inlineStr">
        <is>
          <t>Closed month - actual</t>
        </is>
      </c>
      <c r="J20" s="7" t="inlineStr">
        <is>
          <t>Y</t>
        </is>
      </c>
    </row>
    <row r="21">
      <c r="A21" s="7" t="inlineStr">
        <is>
          <t>2026-01</t>
        </is>
      </c>
      <c r="B21" s="7" t="inlineStr">
        <is>
          <t>6010</t>
        </is>
      </c>
      <c r="C21" s="7" t="inlineStr">
        <is>
          <t>R&amp;D - payroll taxes and benefits</t>
        </is>
      </c>
      <c r="D21" s="8" t="n">
        <v>124774.48</v>
      </c>
      <c r="E21" s="8" t="n">
        <v>107239.66</v>
      </c>
      <c r="F21" s="8" t="n">
        <v>107239.66</v>
      </c>
      <c r="G21" s="8">
        <f>F21-D21</f>
        <v/>
      </c>
      <c r="H21" s="7" t="inlineStr">
        <is>
          <t>Cara Nwosu (Head of People)</t>
        </is>
      </c>
      <c r="I21" s="10" t="inlineStr">
        <is>
          <t>Closed month - actual</t>
        </is>
      </c>
      <c r="J21" s="7" t="inlineStr">
        <is>
          <t>Y</t>
        </is>
      </c>
    </row>
    <row r="22">
      <c r="A22" s="7" t="inlineStr">
        <is>
          <t>2026-01</t>
        </is>
      </c>
      <c r="B22" s="7" t="inlineStr">
        <is>
          <t>6020</t>
        </is>
      </c>
      <c r="C22" s="7" t="inlineStr">
        <is>
          <t>R&amp;D - stock-based compensation</t>
        </is>
      </c>
      <c r="D22" s="8" t="n">
        <v>84000</v>
      </c>
      <c r="E22" s="8" t="n">
        <v>79000</v>
      </c>
      <c r="F22" s="8" t="n">
        <v>79000</v>
      </c>
      <c r="G22" s="8">
        <f>F22-D22</f>
        <v/>
      </c>
      <c r="H22" s="7" t="inlineStr"/>
      <c r="I22" s="10" t="inlineStr">
        <is>
          <t>Closed month - actual</t>
        </is>
      </c>
      <c r="J22" s="7" t="inlineStr">
        <is>
          <t>Y</t>
        </is>
      </c>
    </row>
    <row r="23">
      <c r="A23" s="7" t="inlineStr">
        <is>
          <t>2026-01</t>
        </is>
      </c>
      <c r="B23" s="7" t="inlineStr">
        <is>
          <t>6030</t>
        </is>
      </c>
      <c r="C23" s="7" t="inlineStr">
        <is>
          <t>R&amp;D - contractors</t>
        </is>
      </c>
      <c r="D23" s="8" t="n">
        <v>32558.4</v>
      </c>
      <c r="E23" s="8" t="n">
        <v>50115</v>
      </c>
      <c r="F23" s="8" t="n">
        <v>50115</v>
      </c>
      <c r="G23" s="8">
        <f>F23-D23</f>
        <v/>
      </c>
      <c r="H23" s="7" t="inlineStr">
        <is>
          <t>Priya Raghavan (VP Engineering)</t>
        </is>
      </c>
      <c r="I23" s="10" t="inlineStr">
        <is>
          <t>Closed month - actual</t>
        </is>
      </c>
      <c r="J23" s="7" t="inlineStr">
        <is>
          <t>Y</t>
        </is>
      </c>
    </row>
    <row r="24">
      <c r="A24" s="7" t="inlineStr">
        <is>
          <t>2026-01</t>
        </is>
      </c>
      <c r="B24" s="7" t="inlineStr">
        <is>
          <t>6040</t>
        </is>
      </c>
      <c r="C24" s="7" t="inlineStr">
        <is>
          <t>R&amp;D - software and developer tools</t>
        </is>
      </c>
      <c r="D24" s="8" t="n">
        <v>50427.28</v>
      </c>
      <c r="E24" s="8" t="n">
        <v>99532.8</v>
      </c>
      <c r="F24" s="8" t="n">
        <v>99532.8</v>
      </c>
      <c r="G24" s="8">
        <f>F24-D24</f>
        <v/>
      </c>
      <c r="H24" s="7" t="inlineStr">
        <is>
          <t>Marcus Bell (Head of Infrastructure) with the Accounting Manager</t>
        </is>
      </c>
      <c r="I24" s="10" t="inlineStr">
        <is>
          <t>Closed month - actual</t>
        </is>
      </c>
      <c r="J24" s="7" t="inlineStr">
        <is>
          <t>Y</t>
        </is>
      </c>
    </row>
    <row r="25">
      <c r="A25" s="7" t="inlineStr">
        <is>
          <t>2026-01</t>
        </is>
      </c>
      <c r="B25" s="7" t="inlineStr">
        <is>
          <t>6050</t>
        </is>
      </c>
      <c r="C25" s="7" t="inlineStr">
        <is>
          <t>R&amp;D - research compute</t>
        </is>
      </c>
      <c r="D25" s="8" t="n">
        <v>26318.11</v>
      </c>
      <c r="E25" s="8" t="n">
        <v>124516.21</v>
      </c>
      <c r="F25" s="8" t="n">
        <v>124516.21</v>
      </c>
      <c r="G25" s="8">
        <f>F25-D25</f>
        <v/>
      </c>
      <c r="H25" s="7" t="inlineStr">
        <is>
          <t>Marcus Bell (Head of Infrastructure) - contract; Tomas Lindqvist (Head of Applied Research) - cost center CC-210</t>
        </is>
      </c>
      <c r="I25" s="10" t="inlineStr">
        <is>
          <t>Closed month - actual</t>
        </is>
      </c>
      <c r="J25" s="7" t="inlineStr">
        <is>
          <t>Y</t>
        </is>
      </c>
    </row>
    <row r="26">
      <c r="A26" s="7" t="inlineStr">
        <is>
          <t>2026-01</t>
        </is>
      </c>
      <c r="B26" s="7" t="inlineStr">
        <is>
          <t>6060</t>
        </is>
      </c>
      <c r="C26" s="7" t="inlineStr">
        <is>
          <t>R&amp;D - recruiting</t>
        </is>
      </c>
      <c r="D26" s="8" t="n">
        <v>11200</v>
      </c>
      <c r="E26" s="8" t="n">
        <v>12432</v>
      </c>
      <c r="F26" s="8" t="n">
        <v>12432</v>
      </c>
      <c r="G26" s="8">
        <f>F26-D26</f>
        <v/>
      </c>
      <c r="H26" s="7" t="inlineStr"/>
      <c r="I26" s="10" t="inlineStr">
        <is>
          <t>Closed month - actual</t>
        </is>
      </c>
      <c r="J26" s="7" t="inlineStr">
        <is>
          <t>Y</t>
        </is>
      </c>
    </row>
    <row r="27">
      <c r="A27" s="7" t="inlineStr">
        <is>
          <t>2026-01</t>
        </is>
      </c>
      <c r="B27" s="7" t="inlineStr">
        <is>
          <t>6070</t>
        </is>
      </c>
      <c r="C27" s="7" t="inlineStr">
        <is>
          <t>R&amp;D - travel</t>
        </is>
      </c>
      <c r="D27" s="8" t="n">
        <v>7353.86</v>
      </c>
      <c r="E27" s="8" t="n">
        <v>7456.2</v>
      </c>
      <c r="F27" s="8" t="n">
        <v>7456.2</v>
      </c>
      <c r="G27" s="8">
        <f>F27-D27</f>
        <v/>
      </c>
      <c r="H27" s="7" t="inlineStr"/>
      <c r="I27" s="10" t="inlineStr">
        <is>
          <t>Closed month - actual</t>
        </is>
      </c>
      <c r="J27" s="7" t="inlineStr">
        <is>
          <t>Y</t>
        </is>
      </c>
    </row>
    <row r="28">
      <c r="A28" s="7" t="inlineStr">
        <is>
          <t>2026-01</t>
        </is>
      </c>
      <c r="B28" s="7" t="inlineStr">
        <is>
          <t>6080</t>
        </is>
      </c>
      <c r="C28" s="7" t="inlineStr">
        <is>
          <t>R&amp;D - capitalized software labor (contra)</t>
        </is>
      </c>
      <c r="D28" s="8" t="n">
        <v>-63137.47</v>
      </c>
      <c r="E28" s="8" t="n">
        <v>-58860.22</v>
      </c>
      <c r="F28" s="8" t="n">
        <v>-58860.22</v>
      </c>
      <c r="G28" s="8">
        <f>F28-D28</f>
        <v/>
      </c>
      <c r="H28" s="7" t="inlineStr">
        <is>
          <t>M. Halloran (Controller) with Priya Raghavan (VP Engineering)</t>
        </is>
      </c>
      <c r="I28" s="10" t="inlineStr">
        <is>
          <t>Closed month - actual</t>
        </is>
      </c>
      <c r="J28" s="7" t="inlineStr">
        <is>
          <t>Y</t>
        </is>
      </c>
    </row>
    <row r="29">
      <c r="A29" s="7" t="inlineStr">
        <is>
          <t>2026-01</t>
        </is>
      </c>
      <c r="B29" s="7" t="inlineStr">
        <is>
          <t>6090</t>
        </is>
      </c>
      <c r="C29" s="7" t="inlineStr">
        <is>
          <t>R&amp;D - other</t>
        </is>
      </c>
      <c r="D29" s="8" t="n">
        <v>4608.36</v>
      </c>
      <c r="E29" s="8" t="n">
        <v>4727.7</v>
      </c>
      <c r="F29" s="8" t="n">
        <v>4727.7</v>
      </c>
      <c r="G29" s="8">
        <f>F29-D29</f>
        <v/>
      </c>
      <c r="H29" s="7" t="inlineStr"/>
      <c r="I29" s="10" t="inlineStr">
        <is>
          <t>Closed month - actual</t>
        </is>
      </c>
      <c r="J29" s="7" t="inlineStr">
        <is>
          <t>Y</t>
        </is>
      </c>
    </row>
    <row r="30">
      <c r="A30" s="7" t="inlineStr">
        <is>
          <t>2026-01</t>
        </is>
      </c>
      <c r="B30" s="7" t="inlineStr">
        <is>
          <t>7000</t>
        </is>
      </c>
      <c r="C30" s="7" t="inlineStr">
        <is>
          <t>S&amp;M - salaries and wages</t>
        </is>
      </c>
      <c r="D30" s="8" t="n">
        <v>437894.06</v>
      </c>
      <c r="E30" s="8" t="n">
        <v>353248.64</v>
      </c>
      <c r="F30" s="8" t="n">
        <v>353248.64</v>
      </c>
      <c r="G30" s="8">
        <f>F30-D30</f>
        <v/>
      </c>
      <c r="H30" s="7" t="inlineStr">
        <is>
          <t>Head of People</t>
        </is>
      </c>
      <c r="I30" s="10" t="inlineStr">
        <is>
          <t>Closed month - actual</t>
        </is>
      </c>
      <c r="J30" s="7" t="inlineStr">
        <is>
          <t>Y</t>
        </is>
      </c>
    </row>
    <row r="31">
      <c r="A31" s="7" t="inlineStr">
        <is>
          <t>2026-01</t>
        </is>
      </c>
      <c r="B31" s="7" t="inlineStr">
        <is>
          <t>7010</t>
        </is>
      </c>
      <c r="C31" s="7" t="inlineStr">
        <is>
          <t>S&amp;M - payroll taxes and benefits</t>
        </is>
      </c>
      <c r="D31" s="8" t="n">
        <v>88158.42</v>
      </c>
      <c r="E31" s="8" t="n">
        <v>73369.34</v>
      </c>
      <c r="F31" s="8" t="n">
        <v>73369.34</v>
      </c>
      <c r="G31" s="8">
        <f>F31-D31</f>
        <v/>
      </c>
      <c r="H31" s="7" t="inlineStr">
        <is>
          <t>Head of People</t>
        </is>
      </c>
      <c r="I31" s="10" t="inlineStr">
        <is>
          <t>Closed month - actual</t>
        </is>
      </c>
      <c r="J31" s="7" t="inlineStr">
        <is>
          <t>Y</t>
        </is>
      </c>
    </row>
    <row r="32">
      <c r="A32" s="7" t="inlineStr">
        <is>
          <t>2026-01</t>
        </is>
      </c>
      <c r="B32" s="7" t="inlineStr">
        <is>
          <t>7020</t>
        </is>
      </c>
      <c r="C32" s="7" t="inlineStr">
        <is>
          <t>S&amp;M - stock-based compensation</t>
        </is>
      </c>
      <c r="D32" s="8" t="n">
        <v>56000</v>
      </c>
      <c r="E32" s="8" t="n">
        <v>53000</v>
      </c>
      <c r="F32" s="8" t="n">
        <v>53000</v>
      </c>
      <c r="G32" s="8">
        <f>F32-D32</f>
        <v/>
      </c>
      <c r="H32" s="7" t="inlineStr"/>
      <c r="I32" s="10" t="inlineStr">
        <is>
          <t>Closed month - actual</t>
        </is>
      </c>
      <c r="J32" s="7" t="inlineStr">
        <is>
          <t>Y</t>
        </is>
      </c>
    </row>
    <row r="33">
      <c r="A33" s="7" t="inlineStr">
        <is>
          <t>2026-01</t>
        </is>
      </c>
      <c r="B33" s="7" t="inlineStr">
        <is>
          <t>7030</t>
        </is>
      </c>
      <c r="C33" s="7" t="inlineStr">
        <is>
          <t>S&amp;M - sales commissions</t>
        </is>
      </c>
      <c r="D33" s="8" t="n">
        <v>99806.94</v>
      </c>
      <c r="E33" s="8" t="n">
        <v>99450</v>
      </c>
      <c r="F33" s="8" t="n">
        <v>99450</v>
      </c>
      <c r="G33" s="8">
        <f>F33-D33</f>
        <v/>
      </c>
      <c r="H33" s="7" t="inlineStr">
        <is>
          <t>Dir. RevOps</t>
        </is>
      </c>
      <c r="I33" s="10" t="inlineStr">
        <is>
          <t>Closed month - actual</t>
        </is>
      </c>
      <c r="J33" s="7" t="inlineStr">
        <is>
          <t>Y</t>
        </is>
      </c>
    </row>
    <row r="34">
      <c r="A34" s="7" t="inlineStr">
        <is>
          <t>2026-01</t>
        </is>
      </c>
      <c r="B34" s="7" t="inlineStr">
        <is>
          <t>7040</t>
        </is>
      </c>
      <c r="C34" s="7" t="inlineStr">
        <is>
          <t>S&amp;M - demand generation and paid media</t>
        </is>
      </c>
      <c r="D34" s="8" t="n">
        <v>78283.32000000001</v>
      </c>
      <c r="E34" s="8" t="n">
        <v>82980.33</v>
      </c>
      <c r="F34" s="8" t="n">
        <v>82980.33</v>
      </c>
      <c r="G34" s="8">
        <f>F34-D34</f>
        <v/>
      </c>
      <c r="H34" s="7" t="inlineStr">
        <is>
          <t>VP Marketing</t>
        </is>
      </c>
      <c r="I34" s="10" t="inlineStr">
        <is>
          <t>Closed month - actual</t>
        </is>
      </c>
      <c r="J34" s="7" t="inlineStr">
        <is>
          <t>Y</t>
        </is>
      </c>
    </row>
    <row r="35">
      <c r="A35" s="7" t="inlineStr">
        <is>
          <t>2026-01</t>
        </is>
      </c>
      <c r="B35" s="7" t="inlineStr">
        <is>
          <t>7050</t>
        </is>
      </c>
      <c r="C35" s="7" t="inlineStr">
        <is>
          <t>S&amp;M - events and conferences</t>
        </is>
      </c>
      <c r="D35" s="8" t="n">
        <v>8400</v>
      </c>
      <c r="E35" s="8" t="n">
        <v>7728</v>
      </c>
      <c r="F35" s="8" t="n">
        <v>7728</v>
      </c>
      <c r="G35" s="8">
        <f>F35-D35</f>
        <v/>
      </c>
      <c r="H35" s="7" t="inlineStr">
        <is>
          <t>VP Marketing</t>
        </is>
      </c>
      <c r="I35" s="10" t="inlineStr">
        <is>
          <t>Closed month - actual</t>
        </is>
      </c>
      <c r="J35" s="7" t="inlineStr">
        <is>
          <t>Y</t>
        </is>
      </c>
    </row>
    <row r="36">
      <c r="A36" s="7" t="inlineStr">
        <is>
          <t>2026-01</t>
        </is>
      </c>
      <c r="B36" s="7" t="inlineStr">
        <is>
          <t>7060</t>
        </is>
      </c>
      <c r="C36" s="7" t="inlineStr">
        <is>
          <t>S&amp;M - software and tools</t>
        </is>
      </c>
      <c r="D36" s="8" t="n">
        <v>64416.66</v>
      </c>
      <c r="E36" s="8" t="n">
        <v>68083.33</v>
      </c>
      <c r="F36" s="8" t="n">
        <v>68083.33</v>
      </c>
      <c r="G36" s="8">
        <f>F36-D36</f>
        <v/>
      </c>
      <c r="H36" s="7" t="inlineStr">
        <is>
          <t>Dir. RevOps</t>
        </is>
      </c>
      <c r="I36" s="10" t="inlineStr">
        <is>
          <t>Closed month - actual</t>
        </is>
      </c>
      <c r="J36" s="7" t="inlineStr">
        <is>
          <t>Y</t>
        </is>
      </c>
    </row>
    <row r="37">
      <c r="A37" s="7" t="inlineStr">
        <is>
          <t>2026-01</t>
        </is>
      </c>
      <c r="B37" s="7" t="inlineStr">
        <is>
          <t>7070</t>
        </is>
      </c>
      <c r="C37" s="7" t="inlineStr">
        <is>
          <t>S&amp;M - travel and entertainment</t>
        </is>
      </c>
      <c r="D37" s="8" t="n">
        <v>25687.2</v>
      </c>
      <c r="E37" s="8" t="n">
        <v>26502.67</v>
      </c>
      <c r="F37" s="8" t="n">
        <v>26502.67</v>
      </c>
      <c r="G37" s="8">
        <f>F37-D37</f>
        <v/>
      </c>
      <c r="H37" s="7" t="inlineStr">
        <is>
          <t>VP Sales</t>
        </is>
      </c>
      <c r="I37" s="10" t="inlineStr">
        <is>
          <t>Closed month - actual</t>
        </is>
      </c>
      <c r="J37" s="7" t="inlineStr">
        <is>
          <t>Y</t>
        </is>
      </c>
    </row>
    <row r="38">
      <c r="A38" s="7" t="inlineStr">
        <is>
          <t>2026-01</t>
        </is>
      </c>
      <c r="B38" s="7" t="inlineStr">
        <is>
          <t>7080</t>
        </is>
      </c>
      <c r="C38" s="7" t="inlineStr">
        <is>
          <t>S&amp;M - agencies and contractors</t>
        </is>
      </c>
      <c r="D38" s="8" t="n">
        <v>18415.08</v>
      </c>
      <c r="E38" s="8" t="n">
        <v>43710.8</v>
      </c>
      <c r="F38" s="8" t="n">
        <v>43710.8</v>
      </c>
      <c r="G38" s="8">
        <f>F38-D38</f>
        <v/>
      </c>
      <c r="H38" s="7" t="inlineStr">
        <is>
          <t>VP Marketing</t>
        </is>
      </c>
      <c r="I38" s="10" t="inlineStr">
        <is>
          <t>Closed month - actual</t>
        </is>
      </c>
      <c r="J38" s="7" t="inlineStr">
        <is>
          <t>Y</t>
        </is>
      </c>
    </row>
    <row r="39">
      <c r="A39" s="7" t="inlineStr">
        <is>
          <t>2026-01</t>
        </is>
      </c>
      <c r="B39" s="7" t="inlineStr">
        <is>
          <t>7090</t>
        </is>
      </c>
      <c r="C39" s="7" t="inlineStr">
        <is>
          <t>S&amp;M - other</t>
        </is>
      </c>
      <c r="D39" s="8" t="n">
        <v>4437.68</v>
      </c>
      <c r="E39" s="8" t="n">
        <v>4508.4</v>
      </c>
      <c r="F39" s="8" t="n">
        <v>4508.4</v>
      </c>
      <c r="G39" s="8">
        <f>F39-D39</f>
        <v/>
      </c>
      <c r="H39" s="7" t="inlineStr"/>
      <c r="I39" s="10" t="inlineStr">
        <is>
          <t>Closed month - actual</t>
        </is>
      </c>
      <c r="J39" s="7" t="inlineStr">
        <is>
          <t>Y</t>
        </is>
      </c>
    </row>
    <row r="40">
      <c r="A40" s="7" t="inlineStr">
        <is>
          <t>2026-01</t>
        </is>
      </c>
      <c r="B40" s="7" t="inlineStr">
        <is>
          <t>8000</t>
        </is>
      </c>
      <c r="C40" s="7" t="inlineStr">
        <is>
          <t>G&amp;A - salaries and wages</t>
        </is>
      </c>
      <c r="D40" s="8" t="n">
        <v>222267.98</v>
      </c>
      <c r="E40" s="8" t="n">
        <v>255684.94</v>
      </c>
      <c r="F40" s="8" t="n">
        <v>255684.94</v>
      </c>
      <c r="G40" s="8">
        <f>F40-D40</f>
        <v/>
      </c>
      <c r="H40" s="7" t="inlineStr">
        <is>
          <t>Head of People</t>
        </is>
      </c>
      <c r="I40" s="10" t="inlineStr">
        <is>
          <t>Closed month - actual</t>
        </is>
      </c>
      <c r="J40" s="7" t="inlineStr">
        <is>
          <t>Y</t>
        </is>
      </c>
    </row>
    <row r="41">
      <c r="A41" s="7" t="inlineStr">
        <is>
          <t>2026-01</t>
        </is>
      </c>
      <c r="B41" s="7" t="inlineStr">
        <is>
          <t>8010</t>
        </is>
      </c>
      <c r="C41" s="7" t="inlineStr">
        <is>
          <t>G&amp;A - payroll taxes and benefits</t>
        </is>
      </c>
      <c r="D41" s="8" t="n">
        <v>41047.3</v>
      </c>
      <c r="E41" s="8" t="n">
        <v>46544.79</v>
      </c>
      <c r="F41" s="8" t="n">
        <v>46544.79</v>
      </c>
      <c r="G41" s="8">
        <f>F41-D41</f>
        <v/>
      </c>
      <c r="H41" s="7" t="inlineStr">
        <is>
          <t>Head of People</t>
        </is>
      </c>
      <c r="I41" s="10" t="inlineStr">
        <is>
          <t>Closed month - actual</t>
        </is>
      </c>
      <c r="J41" s="7" t="inlineStr">
        <is>
          <t>Y</t>
        </is>
      </c>
    </row>
    <row r="42">
      <c r="A42" s="7" t="inlineStr">
        <is>
          <t>2026-01</t>
        </is>
      </c>
      <c r="B42" s="7" t="inlineStr">
        <is>
          <t>8020</t>
        </is>
      </c>
      <c r="C42" s="7" t="inlineStr">
        <is>
          <t>G&amp;A - stock-based compensation</t>
        </is>
      </c>
      <c r="D42" s="8" t="n">
        <v>70000</v>
      </c>
      <c r="E42" s="8" t="n">
        <v>66000</v>
      </c>
      <c r="F42" s="8" t="n">
        <v>66000</v>
      </c>
      <c r="G42" s="8">
        <f>F42-D42</f>
        <v/>
      </c>
      <c r="H42" s="7" t="inlineStr"/>
      <c r="I42" s="10" t="inlineStr">
        <is>
          <t>Closed month - actual</t>
        </is>
      </c>
      <c r="J42" s="7" t="inlineStr">
        <is>
          <t>Y</t>
        </is>
      </c>
    </row>
    <row r="43">
      <c r="A43" s="7" t="inlineStr">
        <is>
          <t>2026-01</t>
        </is>
      </c>
      <c r="B43" s="7" t="inlineStr">
        <is>
          <t>8030</t>
        </is>
      </c>
      <c r="C43" s="7" t="inlineStr">
        <is>
          <t>G&amp;A - legal fees</t>
        </is>
      </c>
      <c r="D43" s="8" t="n">
        <v>36180</v>
      </c>
      <c r="E43" s="8" t="n">
        <v>64022</v>
      </c>
      <c r="F43" s="8" t="n">
        <v>64022</v>
      </c>
      <c r="G43" s="8">
        <f>F43-D43</f>
        <v/>
      </c>
      <c r="H43" s="7" t="inlineStr">
        <is>
          <t>General Counsel</t>
        </is>
      </c>
      <c r="I43" s="10" t="inlineStr">
        <is>
          <t>Closed month - actual</t>
        </is>
      </c>
      <c r="J43" s="7" t="inlineStr">
        <is>
          <t>Y</t>
        </is>
      </c>
    </row>
    <row r="44">
      <c r="A44" s="7" t="inlineStr">
        <is>
          <t>2026-01</t>
        </is>
      </c>
      <c r="B44" s="7" t="inlineStr">
        <is>
          <t>8040</t>
        </is>
      </c>
      <c r="C44" s="7" t="inlineStr">
        <is>
          <t>G&amp;A - accounting, audit and tax</t>
        </is>
      </c>
      <c r="D44" s="8" t="n">
        <v>32399.99</v>
      </c>
      <c r="E44" s="8" t="n">
        <v>35315.99</v>
      </c>
      <c r="F44" s="8" t="n">
        <v>35315.99</v>
      </c>
      <c r="G44" s="8">
        <f>F44-D44</f>
        <v/>
      </c>
      <c r="H44" s="7" t="inlineStr">
        <is>
          <t>VP Finance</t>
        </is>
      </c>
      <c r="I44" s="10" t="inlineStr">
        <is>
          <t>Closed month - actual</t>
        </is>
      </c>
      <c r="J44" s="7" t="inlineStr">
        <is>
          <t>Y</t>
        </is>
      </c>
    </row>
    <row r="45">
      <c r="A45" s="7" t="inlineStr">
        <is>
          <t>2026-01</t>
        </is>
      </c>
      <c r="B45" s="7" t="inlineStr">
        <is>
          <t>8050</t>
        </is>
      </c>
      <c r="C45" s="7" t="inlineStr">
        <is>
          <t>G&amp;A - software and tools</t>
        </is>
      </c>
      <c r="D45" s="8" t="n">
        <v>32986.58</v>
      </c>
      <c r="E45" s="8" t="n">
        <v>34629</v>
      </c>
      <c r="F45" s="8" t="n">
        <v>34629</v>
      </c>
      <c r="G45" s="8">
        <f>F45-D45</f>
        <v/>
      </c>
      <c r="H45" s="7" t="inlineStr">
        <is>
          <t>IT Manager</t>
        </is>
      </c>
      <c r="I45" s="10" t="inlineStr">
        <is>
          <t>Closed month - actual</t>
        </is>
      </c>
      <c r="J45" s="7" t="inlineStr">
        <is>
          <t>Y</t>
        </is>
      </c>
    </row>
    <row r="46">
      <c r="A46" s="7" t="inlineStr">
        <is>
          <t>2026-01</t>
        </is>
      </c>
      <c r="B46" s="7" t="inlineStr">
        <is>
          <t>8060</t>
        </is>
      </c>
      <c r="C46" s="7" t="inlineStr">
        <is>
          <t>G&amp;A - insurance</t>
        </is>
      </c>
      <c r="D46" s="8" t="n">
        <v>15666.67</v>
      </c>
      <c r="E46" s="8" t="n">
        <v>15666.67</v>
      </c>
      <c r="F46" s="8" t="n">
        <v>15666.67</v>
      </c>
      <c r="G46" s="8">
        <f>F46-D46</f>
        <v/>
      </c>
      <c r="H46" s="7" t="inlineStr"/>
      <c r="I46" s="10" t="inlineStr">
        <is>
          <t>Closed month - actual</t>
        </is>
      </c>
      <c r="J46" s="7" t="inlineStr">
        <is>
          <t>Y</t>
        </is>
      </c>
    </row>
    <row r="47">
      <c r="A47" s="7" t="inlineStr">
        <is>
          <t>2026-01</t>
        </is>
      </c>
      <c r="B47" s="7" t="inlineStr">
        <is>
          <t>8070</t>
        </is>
      </c>
      <c r="C47" s="7" t="inlineStr">
        <is>
          <t>G&amp;A - rent and facilities</t>
        </is>
      </c>
      <c r="D47" s="8" t="n">
        <v>48035.88</v>
      </c>
      <c r="E47" s="8" t="n">
        <v>49378.2</v>
      </c>
      <c r="F47" s="8" t="n">
        <v>49378.2</v>
      </c>
      <c r="G47" s="8">
        <f>F47-D47</f>
        <v/>
      </c>
      <c r="H47" s="7" t="inlineStr"/>
      <c r="I47" s="10" t="inlineStr">
        <is>
          <t>Closed month - actual</t>
        </is>
      </c>
      <c r="J47" s="7" t="inlineStr">
        <is>
          <t>Y</t>
        </is>
      </c>
    </row>
    <row r="48">
      <c r="A48" s="7" t="inlineStr">
        <is>
          <t>2026-01</t>
        </is>
      </c>
      <c r="B48" s="7" t="inlineStr">
        <is>
          <t>8080</t>
        </is>
      </c>
      <c r="C48" s="7" t="inlineStr">
        <is>
          <t>G&amp;A - depreciation</t>
        </is>
      </c>
      <c r="D48" s="8" t="n">
        <v>18200</v>
      </c>
      <c r="E48" s="8" t="n">
        <v>18520</v>
      </c>
      <c r="F48" s="8" t="n">
        <v>18520</v>
      </c>
      <c r="G48" s="8">
        <f>F48-D48</f>
        <v/>
      </c>
      <c r="H48" s="7" t="inlineStr"/>
      <c r="I48" s="10" t="inlineStr">
        <is>
          <t>Closed month - actual</t>
        </is>
      </c>
      <c r="J48" s="7" t="inlineStr">
        <is>
          <t>Y</t>
        </is>
      </c>
    </row>
    <row r="49">
      <c r="A49" s="7" t="inlineStr">
        <is>
          <t>2026-01</t>
        </is>
      </c>
      <c r="B49" s="7" t="inlineStr">
        <is>
          <t>8090</t>
        </is>
      </c>
      <c r="C49" s="7" t="inlineStr">
        <is>
          <t>G&amp;A - credit loss expense</t>
        </is>
      </c>
      <c r="D49" s="8" t="n">
        <v>6400</v>
      </c>
      <c r="E49" s="8" t="n">
        <v>4720</v>
      </c>
      <c r="F49" s="8" t="n">
        <v>4720</v>
      </c>
      <c r="G49" s="8">
        <f>F49-D49</f>
        <v/>
      </c>
      <c r="H49" s="7" t="inlineStr">
        <is>
          <t>VP Finance</t>
        </is>
      </c>
      <c r="I49" s="10" t="inlineStr">
        <is>
          <t>Closed month - actual</t>
        </is>
      </c>
      <c r="J49" s="7" t="inlineStr">
        <is>
          <t>Y</t>
        </is>
      </c>
    </row>
    <row r="50">
      <c r="A50" s="7" t="inlineStr">
        <is>
          <t>2026-01</t>
        </is>
      </c>
      <c r="B50" s="7" t="inlineStr">
        <is>
          <t>8100</t>
        </is>
      </c>
      <c r="C50" s="7" t="inlineStr">
        <is>
          <t>G&amp;A - taxes, licenses and fees</t>
        </is>
      </c>
      <c r="D50" s="8" t="n">
        <v>39882</v>
      </c>
      <c r="E50" s="8" t="n">
        <v>3323.5</v>
      </c>
      <c r="F50" s="8" t="n">
        <v>3323.5</v>
      </c>
      <c r="G50" s="8">
        <f>F50-D50</f>
        <v/>
      </c>
      <c r="H50" s="7" t="inlineStr">
        <is>
          <t>VP Finance</t>
        </is>
      </c>
      <c r="I50" s="10" t="inlineStr">
        <is>
          <t>Closed month - actual</t>
        </is>
      </c>
      <c r="J50" s="7" t="inlineStr">
        <is>
          <t>Y</t>
        </is>
      </c>
    </row>
    <row r="51">
      <c r="A51" s="7" t="inlineStr">
        <is>
          <t>2026-01</t>
        </is>
      </c>
      <c r="B51" s="7" t="inlineStr">
        <is>
          <t>8110</t>
        </is>
      </c>
      <c r="C51" s="7" t="inlineStr">
        <is>
          <t>G&amp;A - recruiting</t>
        </is>
      </c>
      <c r="D51" s="8" t="n">
        <v>16000</v>
      </c>
      <c r="E51" s="8" t="n">
        <v>24220</v>
      </c>
      <c r="F51" s="8" t="n">
        <v>24220</v>
      </c>
      <c r="G51" s="8">
        <f>F51-D51</f>
        <v/>
      </c>
      <c r="H51" s="7" t="inlineStr">
        <is>
          <t>Head of People</t>
        </is>
      </c>
      <c r="I51" s="10" t="inlineStr">
        <is>
          <t>Closed month - actual</t>
        </is>
      </c>
      <c r="J51" s="7" t="inlineStr">
        <is>
          <t>Y</t>
        </is>
      </c>
    </row>
    <row r="52">
      <c r="A52" s="7" t="inlineStr">
        <is>
          <t>2026-01</t>
        </is>
      </c>
      <c r="B52" s="7" t="inlineStr">
        <is>
          <t>8120</t>
        </is>
      </c>
      <c r="C52" s="7" t="inlineStr">
        <is>
          <t>G&amp;A - travel</t>
        </is>
      </c>
      <c r="D52" s="8" t="n">
        <v>7524.88</v>
      </c>
      <c r="E52" s="8" t="n">
        <v>7854</v>
      </c>
      <c r="F52" s="8" t="n">
        <v>7854</v>
      </c>
      <c r="G52" s="8">
        <f>F52-D52</f>
        <v/>
      </c>
      <c r="H52" s="7" t="inlineStr"/>
      <c r="I52" s="10" t="inlineStr">
        <is>
          <t>Closed month - actual</t>
        </is>
      </c>
      <c r="J52" s="7" t="inlineStr">
        <is>
          <t>Y</t>
        </is>
      </c>
    </row>
    <row r="53">
      <c r="A53" s="7" t="inlineStr">
        <is>
          <t>2026-01</t>
        </is>
      </c>
      <c r="B53" s="7" t="inlineStr">
        <is>
          <t>8130</t>
        </is>
      </c>
      <c r="C53" s="7" t="inlineStr">
        <is>
          <t>G&amp;A - other</t>
        </is>
      </c>
      <c r="D53" s="8" t="n">
        <v>3413.6</v>
      </c>
      <c r="E53" s="8" t="n">
        <v>3468</v>
      </c>
      <c r="F53" s="8" t="n">
        <v>3468</v>
      </c>
      <c r="G53" s="8">
        <f>F53-D53</f>
        <v/>
      </c>
      <c r="H53" s="7" t="inlineStr"/>
      <c r="I53" s="10" t="inlineStr">
        <is>
          <t>Closed month - actual</t>
        </is>
      </c>
      <c r="J53" s="7" t="inlineStr">
        <is>
          <t>Y</t>
        </is>
      </c>
    </row>
    <row r="54">
      <c r="A54" s="7" t="inlineStr">
        <is>
          <t>2026-01</t>
        </is>
      </c>
      <c r="B54" s="7" t="inlineStr">
        <is>
          <t>8140</t>
        </is>
      </c>
      <c r="C54" s="7" t="inlineStr">
        <is>
          <t>G&amp;A - bank and merchant fees</t>
        </is>
      </c>
      <c r="D54" s="8" t="n">
        <v>3751.22</v>
      </c>
      <c r="E54" s="8" t="n">
        <v>3852.2</v>
      </c>
      <c r="F54" s="8" t="n">
        <v>3852.2</v>
      </c>
      <c r="G54" s="8">
        <f>F54-D54</f>
        <v/>
      </c>
      <c r="H54" s="7" t="inlineStr"/>
      <c r="I54" s="10" t="inlineStr">
        <is>
          <t>Closed month - actual</t>
        </is>
      </c>
      <c r="J54" s="7" t="inlineStr">
        <is>
          <t>Y</t>
        </is>
      </c>
    </row>
    <row r="55">
      <c r="A55" s="7" t="inlineStr">
        <is>
          <t>2026-01</t>
        </is>
      </c>
      <c r="B55" s="7" t="inlineStr">
        <is>
          <t>9000</t>
        </is>
      </c>
      <c r="C55" s="7" t="inlineStr">
        <is>
          <t>Interest income</t>
        </is>
      </c>
      <c r="D55" s="8" t="n">
        <v>-83337.82000000001</v>
      </c>
      <c r="E55" s="8" t="n">
        <v>-84180.67</v>
      </c>
      <c r="F55" s="8" t="n">
        <v>-84180.67</v>
      </c>
      <c r="G55" s="8">
        <f>F55-D55</f>
        <v/>
      </c>
      <c r="H55" s="7" t="inlineStr"/>
      <c r="I55" s="10" t="inlineStr">
        <is>
          <t>Closed month - actual</t>
        </is>
      </c>
      <c r="J55" s="7" t="inlineStr">
        <is>
          <t>Y</t>
        </is>
      </c>
    </row>
    <row r="56">
      <c r="A56" s="7" t="inlineStr">
        <is>
          <t>2026-01</t>
        </is>
      </c>
      <c r="B56" s="7" t="inlineStr">
        <is>
          <t>9030</t>
        </is>
      </c>
      <c r="C56" s="7" t="inlineStr">
        <is>
          <t>Income tax expense</t>
        </is>
      </c>
      <c r="D56" s="8" t="n">
        <v>4000</v>
      </c>
      <c r="E56" s="8" t="n">
        <v>4000</v>
      </c>
      <c r="F56" s="8" t="n">
        <v>4000</v>
      </c>
      <c r="G56" s="8">
        <f>F56-D56</f>
        <v/>
      </c>
      <c r="H56" s="7" t="inlineStr"/>
      <c r="I56" s="10" t="inlineStr">
        <is>
          <t>Closed month - actual</t>
        </is>
      </c>
      <c r="J56" s="7" t="inlineStr">
        <is>
          <t>Y</t>
        </is>
      </c>
    </row>
    <row r="57">
      <c r="A57" s="7" t="inlineStr">
        <is>
          <t>2026-02</t>
        </is>
      </c>
      <c r="B57" s="7" t="inlineStr">
        <is>
          <t>4000</t>
        </is>
      </c>
      <c r="C57" s="7" t="inlineStr">
        <is>
          <t>Subscription revenue - platform</t>
        </is>
      </c>
      <c r="D57" s="8" t="n">
        <v>-1608376.37</v>
      </c>
      <c r="E57" s="8" t="n"/>
      <c r="F57" s="8" t="n">
        <v>-1608376.37</v>
      </c>
      <c r="G57" s="8">
        <f>F57-D57</f>
        <v/>
      </c>
      <c r="H57" s="7" t="inlineStr">
        <is>
          <t>VP Sales</t>
        </is>
      </c>
      <c r="I57" s="10" t="inlineStr">
        <is>
          <t>At plan - no January finding moves this line</t>
        </is>
      </c>
      <c r="J57" s="7" t="inlineStr">
        <is>
          <t>Y</t>
        </is>
      </c>
    </row>
    <row r="58">
      <c r="A58" s="7" t="inlineStr">
        <is>
          <t>2026-02</t>
        </is>
      </c>
      <c r="B58" s="7" t="inlineStr">
        <is>
          <t>4010</t>
        </is>
      </c>
      <c r="C58" s="7" t="inlineStr">
        <is>
          <t>Usage revenue - overage</t>
        </is>
      </c>
      <c r="D58" s="8" t="n">
        <v>-218739.19</v>
      </c>
      <c r="E58" s="8" t="n"/>
      <c r="F58" s="8" t="n">
        <v>-260811.51</v>
      </c>
      <c r="G58" s="8">
        <f>F58-D58</f>
        <v/>
      </c>
      <c r="H58" s="7" t="inlineStr">
        <is>
          <t>Dir. RevOps</t>
        </is>
      </c>
      <c r="I58" s="10" t="inlineStr">
        <is>
          <t>-84,145 materializes on the open months. Two causes.</t>
        </is>
      </c>
      <c r="J58" s="7" t="inlineStr">
        <is>
          <t>Y</t>
        </is>
      </c>
    </row>
    <row r="59">
      <c r="A59" s="7" t="inlineStr">
        <is>
          <t>2026-02</t>
        </is>
      </c>
      <c r="B59" s="7" t="inlineStr">
        <is>
          <t>4020</t>
        </is>
      </c>
      <c r="C59" s="7" t="inlineStr">
        <is>
          <t>Professional services revenue</t>
        </is>
      </c>
      <c r="D59" s="8" t="n">
        <v>-94400</v>
      </c>
      <c r="E59" s="8" t="n"/>
      <c r="F59" s="8" t="n">
        <v>-94400</v>
      </c>
      <c r="G59" s="8">
        <f>F59-D59</f>
        <v/>
      </c>
      <c r="H59" s="7" t="inlineStr">
        <is>
          <t>Dir. Professional Services</t>
        </is>
      </c>
      <c r="I59" s="10" t="inlineStr">
        <is>
          <t>At plan - no January finding moves this line</t>
        </is>
      </c>
      <c r="J59" s="7" t="inlineStr">
        <is>
          <t>Y</t>
        </is>
      </c>
    </row>
    <row r="60">
      <c r="A60" s="7" t="inlineStr">
        <is>
          <t>2026-02</t>
        </is>
      </c>
      <c r="B60" s="7" t="inlineStr">
        <is>
          <t>4030</t>
        </is>
      </c>
      <c r="C60" s="7" t="inlineStr">
        <is>
          <t>Other revenue</t>
        </is>
      </c>
      <c r="D60" s="8" t="n">
        <v>-8000</v>
      </c>
      <c r="E60" s="8" t="n"/>
      <c r="F60" s="8" t="n">
        <v>-8000</v>
      </c>
      <c r="G60" s="8">
        <f>F60-D60</f>
        <v/>
      </c>
      <c r="H60" s="7" t="inlineStr">
        <is>
          <t>VP Customer Success</t>
        </is>
      </c>
      <c r="I60" s="10" t="inlineStr">
        <is>
          <t>At plan - no January finding moves this line</t>
        </is>
      </c>
      <c r="J60" s="7" t="inlineStr">
        <is>
          <t>Y</t>
        </is>
      </c>
    </row>
    <row r="61">
      <c r="A61" s="7" t="inlineStr">
        <is>
          <t>2026-02</t>
        </is>
      </c>
      <c r="B61" s="7" t="inlineStr">
        <is>
          <t>4090</t>
        </is>
      </c>
      <c r="C61" s="7" t="inlineStr">
        <is>
          <t>Contra revenue - credits and refunds</t>
        </is>
      </c>
      <c r="D61" s="8" t="n">
        <v>2000</v>
      </c>
      <c r="E61" s="8" t="n"/>
      <c r="F61" s="8" t="n">
        <v>2000</v>
      </c>
      <c r="G61" s="8">
        <f>F61-D61</f>
        <v/>
      </c>
      <c r="H61" s="7" t="inlineStr">
        <is>
          <t>VP Customer Success</t>
        </is>
      </c>
      <c r="I61" s="10" t="inlineStr">
        <is>
          <t>At plan - no January finding moves this line</t>
        </is>
      </c>
      <c r="J61" s="7" t="inlineStr">
        <is>
          <t>Y</t>
        </is>
      </c>
    </row>
    <row r="62">
      <c r="A62" s="7" t="inlineStr">
        <is>
          <t>2026-02</t>
        </is>
      </c>
      <c r="B62" s="7" t="inlineStr">
        <is>
          <t>5000</t>
        </is>
      </c>
      <c r="C62" s="7" t="inlineStr">
        <is>
          <t>COGS - model and inference API</t>
        </is>
      </c>
      <c r="D62" s="8" t="n">
        <v>112658.6</v>
      </c>
      <c r="E62" s="8" t="n"/>
      <c r="F62" s="8" t="n">
        <v>112658.6</v>
      </c>
      <c r="G62" s="8">
        <f>F62-D62</f>
        <v/>
      </c>
      <c r="H62" s="7" t="inlineStr">
        <is>
          <t>Head of Infrastructure</t>
        </is>
      </c>
      <c r="I62" s="10" t="inlineStr">
        <is>
          <t>At plan - no January finding moves this line</t>
        </is>
      </c>
      <c r="J62" s="7" t="inlineStr">
        <is>
          <t>Y</t>
        </is>
      </c>
    </row>
    <row r="63">
      <c r="A63" s="7" t="inlineStr">
        <is>
          <t>2026-02</t>
        </is>
      </c>
      <c r="B63" s="7" t="inlineStr">
        <is>
          <t>5010</t>
        </is>
      </c>
      <c r="C63" s="7" t="inlineStr">
        <is>
          <t>COGS - cloud hosting and storage</t>
        </is>
      </c>
      <c r="D63" s="8" t="n">
        <v>108424.5</v>
      </c>
      <c r="E63" s="8" t="n"/>
      <c r="F63" s="8" t="n">
        <v>108424.5</v>
      </c>
      <c r="G63" s="8">
        <f>F63-D63</f>
        <v/>
      </c>
      <c r="H63" s="7" t="inlineStr">
        <is>
          <t>Head of Infrastructure</t>
        </is>
      </c>
      <c r="I63" s="10" t="inlineStr">
        <is>
          <t>At plan - no January finding moves this line</t>
        </is>
      </c>
      <c r="J63" s="7" t="inlineStr">
        <is>
          <t>Y</t>
        </is>
      </c>
    </row>
    <row r="64">
      <c r="A64" s="7" t="inlineStr">
        <is>
          <t>2026-02</t>
        </is>
      </c>
      <c r="B64" s="7" t="inlineStr">
        <is>
          <t>5020</t>
        </is>
      </c>
      <c r="C64" s="7" t="inlineStr">
        <is>
          <t>COGS - dedicated GPU compute</t>
        </is>
      </c>
      <c r="D64" s="8" t="n">
        <v>39000</v>
      </c>
      <c r="E64" s="8" t="n"/>
      <c r="F64" s="8" t="n">
        <v>39000</v>
      </c>
      <c r="G64" s="8">
        <f>F64-D64</f>
        <v/>
      </c>
      <c r="H64" s="7" t="inlineStr"/>
      <c r="I64" s="10" t="inlineStr">
        <is>
          <t>At plan - no January finding moves this line</t>
        </is>
      </c>
      <c r="J64" s="7" t="inlineStr">
        <is>
          <t>Y</t>
        </is>
      </c>
    </row>
    <row r="65">
      <c r="A65" s="7" t="inlineStr">
        <is>
          <t>2026-02</t>
        </is>
      </c>
      <c r="B65" s="7" t="inlineStr">
        <is>
          <t>5030</t>
        </is>
      </c>
      <c r="C65" s="7" t="inlineStr">
        <is>
          <t>COGS - third-party data and APIs</t>
        </is>
      </c>
      <c r="D65" s="8" t="n">
        <v>23054.18</v>
      </c>
      <c r="E65" s="8" t="n"/>
      <c r="F65" s="8" t="n">
        <v>23054.18</v>
      </c>
      <c r="G65" s="8">
        <f>F65-D65</f>
        <v/>
      </c>
      <c r="H65" s="7" t="inlineStr">
        <is>
          <t>Head of Infrastructure</t>
        </is>
      </c>
      <c r="I65" s="10" t="inlineStr">
        <is>
          <t>At plan - no January finding moves this line</t>
        </is>
      </c>
      <c r="J65" s="7" t="inlineStr">
        <is>
          <t>Y</t>
        </is>
      </c>
    </row>
    <row r="66">
      <c r="A66" s="7" t="inlineStr">
        <is>
          <t>2026-02</t>
        </is>
      </c>
      <c r="B66" s="7" t="inlineStr">
        <is>
          <t>5040</t>
        </is>
      </c>
      <c r="C66" s="7" t="inlineStr">
        <is>
          <t>COGS - support payroll</t>
        </is>
      </c>
      <c r="D66" s="8" t="n">
        <v>55000</v>
      </c>
      <c r="E66" s="8" t="n"/>
      <c r="F66" s="8" t="n">
        <v>55000</v>
      </c>
      <c r="G66" s="8">
        <f>F66-D66</f>
        <v/>
      </c>
      <c r="H66" s="7" t="inlineStr">
        <is>
          <t>VP Customer Success</t>
        </is>
      </c>
      <c r="I66" s="10" t="inlineStr">
        <is>
          <t>At plan - no January finding moves this line</t>
        </is>
      </c>
      <c r="J66" s="7" t="inlineStr">
        <is>
          <t>Y</t>
        </is>
      </c>
    </row>
    <row r="67">
      <c r="A67" s="7" t="inlineStr">
        <is>
          <t>2026-02</t>
        </is>
      </c>
      <c r="B67" s="7" t="inlineStr">
        <is>
          <t>5050</t>
        </is>
      </c>
      <c r="C67" s="7" t="inlineStr">
        <is>
          <t>COGS - professional services payroll</t>
        </is>
      </c>
      <c r="D67" s="8" t="n">
        <v>55000</v>
      </c>
      <c r="E67" s="8" t="n"/>
      <c r="F67" s="8" t="n">
        <v>55000</v>
      </c>
      <c r="G67" s="8">
        <f>F67-D67</f>
        <v/>
      </c>
      <c r="H67" s="7" t="inlineStr">
        <is>
          <t>Dir. Professional Services</t>
        </is>
      </c>
      <c r="I67" s="10" t="inlineStr">
        <is>
          <t>At plan - no January finding moves this line</t>
        </is>
      </c>
      <c r="J67" s="7" t="inlineStr">
        <is>
          <t>Y</t>
        </is>
      </c>
    </row>
    <row r="68">
      <c r="A68" s="7" t="inlineStr">
        <is>
          <t>2026-02</t>
        </is>
      </c>
      <c r="B68" s="7" t="inlineStr">
        <is>
          <t>5060</t>
        </is>
      </c>
      <c r="C68" s="7" t="inlineStr">
        <is>
          <t>COGS - delivery contractors</t>
        </is>
      </c>
      <c r="D68" s="8" t="n">
        <v>16127.78</v>
      </c>
      <c r="E68" s="8" t="n"/>
      <c r="F68" s="8" t="n">
        <v>16127.78</v>
      </c>
      <c r="G68" s="8">
        <f>F68-D68</f>
        <v/>
      </c>
      <c r="H68" s="7" t="inlineStr">
        <is>
          <t>Dir. Professional Services</t>
        </is>
      </c>
      <c r="I68" s="10" t="inlineStr">
        <is>
          <t>At plan - no January finding moves this line</t>
        </is>
      </c>
      <c r="J68" s="7" t="inlineStr">
        <is>
          <t>Y</t>
        </is>
      </c>
    </row>
    <row r="69">
      <c r="A69" s="7" t="inlineStr">
        <is>
          <t>2026-02</t>
        </is>
      </c>
      <c r="B69" s="7" t="inlineStr">
        <is>
          <t>5070</t>
        </is>
      </c>
      <c r="C69" s="7" t="inlineStr">
        <is>
          <t>COGS - amortization of capitalized software</t>
        </is>
      </c>
      <c r="D69" s="8" t="n">
        <v>45400</v>
      </c>
      <c r="E69" s="8" t="n"/>
      <c r="F69" s="8" t="n">
        <v>45400</v>
      </c>
      <c r="G69" s="8">
        <f>F69-D69</f>
        <v/>
      </c>
      <c r="H69" s="7" t="inlineStr">
        <is>
          <t>VP Finance</t>
        </is>
      </c>
      <c r="I69" s="10" t="inlineStr">
        <is>
          <t>At plan - no January finding moves this line</t>
        </is>
      </c>
      <c r="J69" s="7" t="inlineStr">
        <is>
          <t>Y</t>
        </is>
      </c>
    </row>
    <row r="70">
      <c r="A70" s="7" t="inlineStr">
        <is>
          <t>2026-02</t>
        </is>
      </c>
      <c r="B70" s="7" t="inlineStr">
        <is>
          <t>5080</t>
        </is>
      </c>
      <c r="C70" s="7" t="inlineStr">
        <is>
          <t>COGS - payment processing fees</t>
        </is>
      </c>
      <c r="D70" s="8" t="n">
        <v>11469.6</v>
      </c>
      <c r="E70" s="8" t="n"/>
      <c r="F70" s="8" t="n">
        <v>11469.6</v>
      </c>
      <c r="G70" s="8">
        <f>F70-D70</f>
        <v/>
      </c>
      <c r="H70" s="7" t="inlineStr">
        <is>
          <t>VP Finance</t>
        </is>
      </c>
      <c r="I70" s="10" t="inlineStr">
        <is>
          <t>At plan - no January finding moves this line</t>
        </is>
      </c>
      <c r="J70" s="7" t="inlineStr">
        <is>
          <t>Y</t>
        </is>
      </c>
    </row>
    <row r="71">
      <c r="A71" s="7" t="inlineStr">
        <is>
          <t>2026-02</t>
        </is>
      </c>
      <c r="B71" s="7" t="inlineStr">
        <is>
          <t>5090</t>
        </is>
      </c>
      <c r="C71" s="7" t="inlineStr">
        <is>
          <t>COGS - other</t>
        </is>
      </c>
      <c r="D71" s="8" t="n">
        <v>3598.62</v>
      </c>
      <c r="E71" s="8" t="n"/>
      <c r="F71" s="8" t="n">
        <v>3598.62</v>
      </c>
      <c r="G71" s="8">
        <f>F71-D71</f>
        <v/>
      </c>
      <c r="H71" s="7" t="inlineStr">
        <is>
          <t>VP Finance</t>
        </is>
      </c>
      <c r="I71" s="10" t="inlineStr">
        <is>
          <t>At plan - no January finding moves this line</t>
        </is>
      </c>
      <c r="J71" s="7" t="inlineStr">
        <is>
          <t>Y</t>
        </is>
      </c>
    </row>
    <row r="72">
      <c r="A72" s="7" t="inlineStr">
        <is>
          <t>2026-02</t>
        </is>
      </c>
      <c r="B72" s="7" t="inlineStr">
        <is>
          <t>6000</t>
        </is>
      </c>
      <c r="C72" s="7" t="inlineStr">
        <is>
          <t>R&amp;D - salaries and wages</t>
        </is>
      </c>
      <c r="D72" s="8" t="n">
        <v>680351.73</v>
      </c>
      <c r="E72" s="8" t="n"/>
      <c r="F72" s="8" t="n">
        <v>680351.73</v>
      </c>
      <c r="G72" s="8">
        <f>F72-D72</f>
        <v/>
      </c>
      <c r="H72" s="7" t="inlineStr">
        <is>
          <t>Priya Raghavan (VP Engineering)</t>
        </is>
      </c>
      <c r="I72" s="10" t="inlineStr">
        <is>
          <t>At plan - no January finding moves this line</t>
        </is>
      </c>
      <c r="J72" s="7" t="inlineStr">
        <is>
          <t>Y</t>
        </is>
      </c>
    </row>
    <row r="73">
      <c r="A73" s="7" t="inlineStr">
        <is>
          <t>2026-02</t>
        </is>
      </c>
      <c r="B73" s="7" t="inlineStr">
        <is>
          <t>6010</t>
        </is>
      </c>
      <c r="C73" s="7" t="inlineStr">
        <is>
          <t>R&amp;D - payroll taxes and benefits</t>
        </is>
      </c>
      <c r="D73" s="8" t="n">
        <v>131013.2</v>
      </c>
      <c r="E73" s="8" t="n"/>
      <c r="F73" s="8" t="n">
        <v>131013.2</v>
      </c>
      <c r="G73" s="8">
        <f>F73-D73</f>
        <v/>
      </c>
      <c r="H73" s="7" t="inlineStr">
        <is>
          <t>Cara Nwosu (Head of People)</t>
        </is>
      </c>
      <c r="I73" s="10" t="inlineStr">
        <is>
          <t>At plan - no January finding moves this line</t>
        </is>
      </c>
      <c r="J73" s="7" t="inlineStr">
        <is>
          <t>Y</t>
        </is>
      </c>
    </row>
    <row r="74">
      <c r="A74" s="7" t="inlineStr">
        <is>
          <t>2026-02</t>
        </is>
      </c>
      <c r="B74" s="7" t="inlineStr">
        <is>
          <t>6020</t>
        </is>
      </c>
      <c r="C74" s="7" t="inlineStr">
        <is>
          <t>R&amp;D - stock-based compensation</t>
        </is>
      </c>
      <c r="D74" s="8" t="n">
        <v>85764</v>
      </c>
      <c r="E74" s="8" t="n"/>
      <c r="F74" s="8" t="n">
        <v>85764</v>
      </c>
      <c r="G74" s="8">
        <f>F74-D74</f>
        <v/>
      </c>
      <c r="H74" s="7" t="inlineStr"/>
      <c r="I74" s="10" t="inlineStr">
        <is>
          <t>At plan - no January finding moves this line</t>
        </is>
      </c>
      <c r="J74" s="7" t="inlineStr">
        <is>
          <t>Y</t>
        </is>
      </c>
    </row>
    <row r="75">
      <c r="A75" s="7" t="inlineStr">
        <is>
          <t>2026-02</t>
        </is>
      </c>
      <c r="B75" s="7" t="inlineStr">
        <is>
          <t>6030</t>
        </is>
      </c>
      <c r="C75" s="7" t="inlineStr">
        <is>
          <t>R&amp;D - contractors</t>
        </is>
      </c>
      <c r="D75" s="8" t="n">
        <v>32818.87</v>
      </c>
      <c r="E75" s="8" t="n"/>
      <c r="F75" s="8" t="n">
        <v>32818.87</v>
      </c>
      <c r="G75" s="8">
        <f>F75-D75</f>
        <v/>
      </c>
      <c r="H75" s="7" t="inlineStr">
        <is>
          <t>Priya Raghavan (VP Engineering)</t>
        </is>
      </c>
      <c r="I75" s="10" t="inlineStr">
        <is>
          <t>At plan - no January finding moves this line</t>
        </is>
      </c>
      <c r="J75" s="7" t="inlineStr">
        <is>
          <t>Y</t>
        </is>
      </c>
    </row>
    <row r="76">
      <c r="A76" s="7" t="inlineStr">
        <is>
          <t>2026-02</t>
        </is>
      </c>
      <c r="B76" s="7" t="inlineStr">
        <is>
          <t>6040</t>
        </is>
      </c>
      <c r="C76" s="7" t="inlineStr">
        <is>
          <t>R&amp;D - software and developer tools</t>
        </is>
      </c>
      <c r="D76" s="8" t="n">
        <v>50534.99</v>
      </c>
      <c r="E76" s="8" t="n"/>
      <c r="F76" s="8" t="n">
        <v>50534.99</v>
      </c>
      <c r="G76" s="8">
        <f>F76-D76</f>
        <v/>
      </c>
      <c r="H76" s="7" t="inlineStr">
        <is>
          <t>Marcus Bell (Head of Infrastructure) with the Accounting Manager</t>
        </is>
      </c>
      <c r="I76" s="10" t="inlineStr">
        <is>
          <t>At plan - no January finding moves this line</t>
        </is>
      </c>
      <c r="J76" s="7" t="inlineStr">
        <is>
          <t>Y</t>
        </is>
      </c>
    </row>
    <row r="77">
      <c r="A77" s="7" t="inlineStr">
        <is>
          <t>2026-02</t>
        </is>
      </c>
      <c r="B77" s="7" t="inlineStr">
        <is>
          <t>6050</t>
        </is>
      </c>
      <c r="C77" s="7" t="inlineStr">
        <is>
          <t>R&amp;D - research compute</t>
        </is>
      </c>
      <c r="D77" s="8" t="n">
        <v>26489.62</v>
      </c>
      <c r="E77" s="8" t="n"/>
      <c r="F77" s="8" t="n">
        <v>26489.62</v>
      </c>
      <c r="G77" s="8">
        <f>F77-D77</f>
        <v/>
      </c>
      <c r="H77" s="7" t="inlineStr">
        <is>
          <t>Marcus Bell (Head of Infrastructure) - contract; Tomas Lindqvist (Head of Applied Research) - cost center CC-210</t>
        </is>
      </c>
      <c r="I77" s="10" t="inlineStr">
        <is>
          <t>At plan - no January finding moves this line</t>
        </is>
      </c>
      <c r="J77" s="7" t="inlineStr">
        <is>
          <t>Y</t>
        </is>
      </c>
    </row>
    <row r="78">
      <c r="A78" s="7" t="inlineStr">
        <is>
          <t>2026-02</t>
        </is>
      </c>
      <c r="B78" s="7" t="inlineStr">
        <is>
          <t>6060</t>
        </is>
      </c>
      <c r="C78" s="7" t="inlineStr">
        <is>
          <t>R&amp;D - recruiting</t>
        </is>
      </c>
      <c r="D78" s="8" t="n">
        <v>11200</v>
      </c>
      <c r="E78" s="8" t="n"/>
      <c r="F78" s="8" t="n">
        <v>11200</v>
      </c>
      <c r="G78" s="8">
        <f>F78-D78</f>
        <v/>
      </c>
      <c r="H78" s="7" t="inlineStr"/>
      <c r="I78" s="10" t="inlineStr">
        <is>
          <t>At plan - no January finding moves this line</t>
        </is>
      </c>
      <c r="J78" s="7" t="inlineStr">
        <is>
          <t>Y</t>
        </is>
      </c>
    </row>
    <row r="79">
      <c r="A79" s="7" t="inlineStr">
        <is>
          <t>2026-02</t>
        </is>
      </c>
      <c r="B79" s="7" t="inlineStr">
        <is>
          <t>6070</t>
        </is>
      </c>
      <c r="C79" s="7" t="inlineStr">
        <is>
          <t>R&amp;D - travel</t>
        </is>
      </c>
      <c r="D79" s="8" t="n">
        <v>7397.98</v>
      </c>
      <c r="E79" s="8" t="n"/>
      <c r="F79" s="8" t="n">
        <v>7397.98</v>
      </c>
      <c r="G79" s="8">
        <f>F79-D79</f>
        <v/>
      </c>
      <c r="H79" s="7" t="inlineStr"/>
      <c r="I79" s="10" t="inlineStr">
        <is>
          <t>At plan - no January finding moves this line</t>
        </is>
      </c>
      <c r="J79" s="7" t="inlineStr">
        <is>
          <t>Y</t>
        </is>
      </c>
    </row>
    <row r="80">
      <c r="A80" s="7" t="inlineStr">
        <is>
          <t>2026-02</t>
        </is>
      </c>
      <c r="B80" s="7" t="inlineStr">
        <is>
          <t>6080</t>
        </is>
      </c>
      <c r="C80" s="7" t="inlineStr">
        <is>
          <t>R&amp;D - capitalized software labor (contra)</t>
        </is>
      </c>
      <c r="D80" s="8" t="n">
        <v>-64037.47</v>
      </c>
      <c r="E80" s="8" t="n"/>
      <c r="F80" s="8" t="n">
        <v>-27005.35</v>
      </c>
      <c r="G80" s="8">
        <f>F80-D80</f>
        <v/>
      </c>
      <c r="H80" s="7" t="inlineStr">
        <is>
          <t>M. Halloran (Controller) with Priya Raghavan (VP Engineering)</t>
        </is>
      </c>
      <c r="I80" s="10" t="inlineStr">
        <is>
          <t>-74,064 materializes on the open months. USD 19,510.99 of the January capitalization is ARC-IUS-004 Model evaluation harness, carried at Preliminary project stage since June 2025 - not....</t>
        </is>
      </c>
      <c r="J80" s="7" t="inlineStr">
        <is>
          <t>Y</t>
        </is>
      </c>
    </row>
    <row r="81">
      <c r="A81" s="7" t="inlineStr">
        <is>
          <t>2026-02</t>
        </is>
      </c>
      <c r="B81" s="7" t="inlineStr">
        <is>
          <t>6090</t>
        </is>
      </c>
      <c r="C81" s="7" t="inlineStr">
        <is>
          <t>R&amp;D - other</t>
        </is>
      </c>
      <c r="D81" s="8" t="n">
        <v>4626.79</v>
      </c>
      <c r="E81" s="8" t="n"/>
      <c r="F81" s="8" t="n">
        <v>4626.79</v>
      </c>
      <c r="G81" s="8">
        <f>F81-D81</f>
        <v/>
      </c>
      <c r="H81" s="7" t="inlineStr"/>
      <c r="I81" s="10" t="inlineStr">
        <is>
          <t>At plan - no January finding moves this line</t>
        </is>
      </c>
      <c r="J81" s="7" t="inlineStr">
        <is>
          <t>Y</t>
        </is>
      </c>
    </row>
    <row r="82">
      <c r="A82" s="7" t="inlineStr">
        <is>
          <t>2026-02</t>
        </is>
      </c>
      <c r="B82" s="7" t="inlineStr">
        <is>
          <t>7000</t>
        </is>
      </c>
      <c r="C82" s="7" t="inlineStr">
        <is>
          <t>S&amp;M - salaries and wages</t>
        </is>
      </c>
      <c r="D82" s="8" t="n">
        <v>437894.06</v>
      </c>
      <c r="E82" s="8" t="n"/>
      <c r="F82" s="8" t="n">
        <v>310394.06</v>
      </c>
      <c r="G82" s="8">
        <f>F82-D82</f>
        <v/>
      </c>
      <c r="H82" s="7" t="inlineStr">
        <is>
          <t>Head of People</t>
        </is>
      </c>
      <c r="I82" s="10" t="inlineStr">
        <is>
          <t>+255,000 materializes on the open months. Loaded cost per head, not heads.</t>
        </is>
      </c>
      <c r="J82" s="7" t="inlineStr">
        <is>
          <t>Y</t>
        </is>
      </c>
    </row>
    <row r="83">
      <c r="A83" s="7" t="inlineStr">
        <is>
          <t>2026-02</t>
        </is>
      </c>
      <c r="B83" s="7" t="inlineStr">
        <is>
          <t>7010</t>
        </is>
      </c>
      <c r="C83" s="7" t="inlineStr">
        <is>
          <t>S&amp;M - payroll taxes and benefits</t>
        </is>
      </c>
      <c r="D83" s="8" t="n">
        <v>88158.42</v>
      </c>
      <c r="E83" s="8" t="n"/>
      <c r="F83" s="8" t="n">
        <v>66158.42</v>
      </c>
      <c r="G83" s="8">
        <f>F83-D83</f>
        <v/>
      </c>
      <c r="H83" s="7" t="inlineStr">
        <is>
          <t>Head of People</t>
        </is>
      </c>
      <c r="I83" s="10" t="inlineStr">
        <is>
          <t>+44,000 materializes on the open months. Employer burden at 21.2 percent moving with the same base as 7000.</t>
        </is>
      </c>
      <c r="J83" s="7" t="inlineStr">
        <is>
          <t>Y</t>
        </is>
      </c>
    </row>
    <row r="84">
      <c r="A84" s="7" t="inlineStr">
        <is>
          <t>2026-02</t>
        </is>
      </c>
      <c r="B84" s="7" t="inlineStr">
        <is>
          <t>7020</t>
        </is>
      </c>
      <c r="C84" s="7" t="inlineStr">
        <is>
          <t>S&amp;M - stock-based compensation</t>
        </is>
      </c>
      <c r="D84" s="8" t="n">
        <v>57176</v>
      </c>
      <c r="E84" s="8" t="n"/>
      <c r="F84" s="8" t="n">
        <v>57176</v>
      </c>
      <c r="G84" s="8">
        <f>F84-D84</f>
        <v/>
      </c>
      <c r="H84" s="7" t="inlineStr"/>
      <c r="I84" s="10" t="inlineStr">
        <is>
          <t>At plan - no January finding moves this line</t>
        </is>
      </c>
      <c r="J84" s="7" t="inlineStr">
        <is>
          <t>Y</t>
        </is>
      </c>
    </row>
    <row r="85">
      <c r="A85" s="7" t="inlineStr">
        <is>
          <t>2026-02</t>
        </is>
      </c>
      <c r="B85" s="7" t="inlineStr">
        <is>
          <t>7030</t>
        </is>
      </c>
      <c r="C85" s="7" t="inlineStr">
        <is>
          <t>S&amp;M - sales commissions</t>
        </is>
      </c>
      <c r="D85" s="8" t="n">
        <v>101813.89</v>
      </c>
      <c r="E85" s="8" t="n"/>
      <c r="F85" s="8" t="n">
        <v>101813.89</v>
      </c>
      <c r="G85" s="8">
        <f>F85-D85</f>
        <v/>
      </c>
      <c r="H85" s="7" t="inlineStr">
        <is>
          <t>Dir. RevOps</t>
        </is>
      </c>
      <c r="I85" s="10" t="inlineStr">
        <is>
          <t>At plan - no January finding moves this line</t>
        </is>
      </c>
      <c r="J85" s="7" t="inlineStr">
        <is>
          <t>Y</t>
        </is>
      </c>
    </row>
    <row r="86">
      <c r="A86" s="7" t="inlineStr">
        <is>
          <t>2026-02</t>
        </is>
      </c>
      <c r="B86" s="7" t="inlineStr">
        <is>
          <t>7040</t>
        </is>
      </c>
      <c r="C86" s="7" t="inlineStr">
        <is>
          <t>S&amp;M - demand generation and paid media</t>
        </is>
      </c>
      <c r="D86" s="8" t="n">
        <v>78283.32000000001</v>
      </c>
      <c r="E86" s="8" t="n"/>
      <c r="F86" s="8" t="n">
        <v>85283.32000000001</v>
      </c>
      <c r="G86" s="8">
        <f>F86-D86</f>
        <v/>
      </c>
      <c r="H86" s="7" t="inlineStr">
        <is>
          <t>VP Marketing</t>
        </is>
      </c>
      <c r="I86" s="10" t="inlineStr">
        <is>
          <t>-14,000 materializes on the open months. Pure media, no agency or event content in this account.</t>
        </is>
      </c>
      <c r="J86" s="7" t="inlineStr">
        <is>
          <t>Y</t>
        </is>
      </c>
    </row>
    <row r="87">
      <c r="A87" s="7" t="inlineStr">
        <is>
          <t>2026-02</t>
        </is>
      </c>
      <c r="B87" s="7" t="inlineStr">
        <is>
          <t>7050</t>
        </is>
      </c>
      <c r="C87" s="7" t="inlineStr">
        <is>
          <t>S&amp;M - events and conferences</t>
        </is>
      </c>
      <c r="D87" s="8" t="n">
        <v>11760</v>
      </c>
      <c r="E87" s="8" t="n"/>
      <c r="F87" s="8" t="n">
        <v>11760</v>
      </c>
      <c r="G87" s="8">
        <f>F87-D87</f>
        <v/>
      </c>
      <c r="H87" s="7" t="inlineStr">
        <is>
          <t>VP Marketing</t>
        </is>
      </c>
      <c r="I87" s="10" t="inlineStr">
        <is>
          <t>At plan - no January finding moves this line</t>
        </is>
      </c>
      <c r="J87" s="7" t="inlineStr">
        <is>
          <t>Y</t>
        </is>
      </c>
    </row>
    <row r="88">
      <c r="A88" s="7" t="inlineStr">
        <is>
          <t>2026-02</t>
        </is>
      </c>
      <c r="B88" s="7" t="inlineStr">
        <is>
          <t>7060</t>
        </is>
      </c>
      <c r="C88" s="7" t="inlineStr">
        <is>
          <t>S&amp;M - software and tools</t>
        </is>
      </c>
      <c r="D88" s="8" t="n">
        <v>64416.66</v>
      </c>
      <c r="E88" s="8" t="n"/>
      <c r="F88" s="8" t="n">
        <v>73666.66</v>
      </c>
      <c r="G88" s="8">
        <f>F88-D88</f>
        <v/>
      </c>
      <c r="H88" s="7" t="inlineStr">
        <is>
          <t>Dir. RevOps</t>
        </is>
      </c>
      <c r="I88" s="10" t="inlineStr">
        <is>
          <t>-18,500 materializes on the open months. Auto-renewal uplift, not consumption.</t>
        </is>
      </c>
      <c r="J88" s="7" t="inlineStr">
        <is>
          <t>Y</t>
        </is>
      </c>
    </row>
    <row r="89">
      <c r="A89" s="7" t="inlineStr">
        <is>
          <t>2026-02</t>
        </is>
      </c>
      <c r="B89" s="7" t="inlineStr">
        <is>
          <t>7070</t>
        </is>
      </c>
      <c r="C89" s="7" t="inlineStr">
        <is>
          <t>S&amp;M - travel and entertainment</t>
        </is>
      </c>
      <c r="D89" s="8" t="n">
        <v>25892.69</v>
      </c>
      <c r="E89" s="8" t="n"/>
      <c r="F89" s="8" t="n">
        <v>27092.69</v>
      </c>
      <c r="G89" s="8">
        <f>F89-D89</f>
        <v/>
      </c>
      <c r="H89" s="7" t="inlineStr">
        <is>
          <t>VP Sales</t>
        </is>
      </c>
      <c r="I89" s="10" t="inlineStr">
        <is>
          <t>-2,400 materializes on the open months. Benchmark is budget per head x budgeted headcount, so it splits two ways.</t>
        </is>
      </c>
      <c r="J89" s="7" t="inlineStr">
        <is>
          <t>Y</t>
        </is>
      </c>
    </row>
    <row r="90">
      <c r="A90" s="7" t="inlineStr">
        <is>
          <t>2026-02</t>
        </is>
      </c>
      <c r="B90" s="7" t="inlineStr">
        <is>
          <t>7080</t>
        </is>
      </c>
      <c r="C90" s="7" t="inlineStr">
        <is>
          <t>S&amp;M - agencies and contractors</t>
        </is>
      </c>
      <c r="D90" s="8" t="n">
        <v>18470.33</v>
      </c>
      <c r="E90" s="8" t="n"/>
      <c r="F90" s="8" t="n">
        <v>18470.33</v>
      </c>
      <c r="G90" s="8">
        <f>F90-D90</f>
        <v/>
      </c>
      <c r="H90" s="7" t="inlineStr">
        <is>
          <t>VP Marketing</t>
        </is>
      </c>
      <c r="I90" s="10" t="inlineStr">
        <is>
          <t>At plan - no January finding moves this line</t>
        </is>
      </c>
      <c r="J90" s="7" t="inlineStr">
        <is>
          <t>Y</t>
        </is>
      </c>
    </row>
    <row r="91">
      <c r="A91" s="7" t="inlineStr">
        <is>
          <t>2026-02</t>
        </is>
      </c>
      <c r="B91" s="7" t="inlineStr">
        <is>
          <t>7090</t>
        </is>
      </c>
      <c r="C91" s="7" t="inlineStr">
        <is>
          <t>S&amp;M - other</t>
        </is>
      </c>
      <c r="D91" s="8" t="n">
        <v>4455.43</v>
      </c>
      <c r="E91" s="8" t="n"/>
      <c r="F91" s="8" t="n">
        <v>4455.43</v>
      </c>
      <c r="G91" s="8">
        <f>F91-D91</f>
        <v/>
      </c>
      <c r="H91" s="7" t="inlineStr"/>
      <c r="I91" s="10" t="inlineStr">
        <is>
          <t>At plan - no January finding moves this line</t>
        </is>
      </c>
      <c r="J91" s="7" t="inlineStr">
        <is>
          <t>Y</t>
        </is>
      </c>
    </row>
    <row r="92">
      <c r="A92" s="7" t="inlineStr">
        <is>
          <t>2026-02</t>
        </is>
      </c>
      <c r="B92" s="7" t="inlineStr">
        <is>
          <t>8000</t>
        </is>
      </c>
      <c r="C92" s="7" t="inlineStr">
        <is>
          <t>G&amp;A - salaries and wages</t>
        </is>
      </c>
      <c r="D92" s="8" t="n">
        <v>222267.98</v>
      </c>
      <c r="E92" s="8" t="n"/>
      <c r="F92" s="8" t="n">
        <v>272393.42</v>
      </c>
      <c r="G92" s="8">
        <f>F92-D92</f>
        <v/>
      </c>
      <c r="H92" s="7" t="inlineStr">
        <is>
          <t>Head of People</t>
        </is>
      </c>
      <c r="I92" s="10" t="inlineStr">
        <is>
          <t>-100,251 materializes on the open months. Not an overspend.</t>
        </is>
      </c>
      <c r="J92" s="7" t="inlineStr">
        <is>
          <t>Y</t>
        </is>
      </c>
    </row>
    <row r="93">
      <c r="A93" s="7" t="inlineStr">
        <is>
          <t>2026-02</t>
        </is>
      </c>
      <c r="B93" s="7" t="inlineStr">
        <is>
          <t>8010</t>
        </is>
      </c>
      <c r="C93" s="7" t="inlineStr">
        <is>
          <t>G&amp;A - payroll taxes and benefits</t>
        </is>
      </c>
      <c r="D93" s="8" t="n">
        <v>41047.3</v>
      </c>
      <c r="E93" s="8" t="n"/>
      <c r="F93" s="8" t="n">
        <v>49293.54</v>
      </c>
      <c r="G93" s="8">
        <f>F93-D93</f>
        <v/>
      </c>
      <c r="H93" s="7" t="inlineStr">
        <is>
          <t>Head of People</t>
        </is>
      </c>
      <c r="I93" s="10" t="inlineStr">
        <is>
          <t>-16,492 materializes on the open months. The same cause as 8000, one account down.</t>
        </is>
      </c>
      <c r="J93" s="7" t="inlineStr">
        <is>
          <t>Y</t>
        </is>
      </c>
    </row>
    <row r="94">
      <c r="A94" s="7" t="inlineStr">
        <is>
          <t>2026-02</t>
        </is>
      </c>
      <c r="B94" s="7" t="inlineStr">
        <is>
          <t>8020</t>
        </is>
      </c>
      <c r="C94" s="7" t="inlineStr">
        <is>
          <t>G&amp;A - stock-based compensation</t>
        </is>
      </c>
      <c r="D94" s="8" t="n">
        <v>71470</v>
      </c>
      <c r="E94" s="8" t="n"/>
      <c r="F94" s="8" t="n">
        <v>71470</v>
      </c>
      <c r="G94" s="8">
        <f>F94-D94</f>
        <v/>
      </c>
      <c r="H94" s="7" t="inlineStr"/>
      <c r="I94" s="10" t="inlineStr">
        <is>
          <t>At plan - no January finding moves this line</t>
        </is>
      </c>
      <c r="J94" s="7" t="inlineStr">
        <is>
          <t>Y</t>
        </is>
      </c>
    </row>
    <row r="95">
      <c r="A95" s="7" t="inlineStr">
        <is>
          <t>2026-02</t>
        </is>
      </c>
      <c r="B95" s="7" t="inlineStr">
        <is>
          <t>8030</t>
        </is>
      </c>
      <c r="C95" s="7" t="inlineStr">
        <is>
          <t>G&amp;A - legal fees</t>
        </is>
      </c>
      <c r="D95" s="8" t="n">
        <v>30150</v>
      </c>
      <c r="E95" s="8" t="n"/>
      <c r="F95" s="8" t="n">
        <v>33424.5</v>
      </c>
      <c r="G95" s="8">
        <f>F95-D95</f>
        <v/>
      </c>
      <c r="H95" s="7" t="inlineStr">
        <is>
          <t>General Counsel</t>
        </is>
      </c>
      <c r="I95" s="10" t="inlineStr">
        <is>
          <t>-6,549 materializes on the open months. A single commercial contracting invoice, 23 percent above a plan struck as December run rate x 1.2.</t>
        </is>
      </c>
      <c r="J95" s="7" t="inlineStr">
        <is>
          <t>Y</t>
        </is>
      </c>
    </row>
    <row r="96">
      <c r="A96" s="7" t="inlineStr">
        <is>
          <t>2026-02</t>
        </is>
      </c>
      <c r="B96" s="7" t="inlineStr">
        <is>
          <t>8040</t>
        </is>
      </c>
      <c r="C96" s="7" t="inlineStr">
        <is>
          <t>G&amp;A - accounting, audit and tax</t>
        </is>
      </c>
      <c r="D96" s="8" t="n">
        <v>77759.97</v>
      </c>
      <c r="E96" s="8" t="n"/>
      <c r="F96" s="8" t="n">
        <v>86799.47</v>
      </c>
      <c r="G96" s="8">
        <f>F96-D96</f>
        <v/>
      </c>
      <c r="H96" s="7" t="inlineStr">
        <is>
          <t>VP Finance</t>
        </is>
      </c>
      <c r="I96" s="10" t="inlineStr">
        <is>
          <t>-18,079 materializes on the open months. January is not the surprise and should not be reported as one - the fieldwork spike is in the calendar (FY2025 audit fieldwork completes 31 March)....</t>
        </is>
      </c>
      <c r="J96" s="7" t="inlineStr">
        <is>
          <t>Y</t>
        </is>
      </c>
    </row>
    <row r="97">
      <c r="A97" s="7" t="inlineStr">
        <is>
          <t>2026-02</t>
        </is>
      </c>
      <c r="B97" s="7" t="inlineStr">
        <is>
          <t>8050</t>
        </is>
      </c>
      <c r="C97" s="7" t="inlineStr">
        <is>
          <t>G&amp;A - software and tools</t>
        </is>
      </c>
      <c r="D97" s="8" t="n">
        <v>32993.2</v>
      </c>
      <c r="E97" s="8" t="n"/>
      <c r="F97" s="8" t="n">
        <v>32993.2</v>
      </c>
      <c r="G97" s="8">
        <f>F97-D97</f>
        <v/>
      </c>
      <c r="H97" s="7" t="inlineStr">
        <is>
          <t>IT Manager</t>
        </is>
      </c>
      <c r="I97" s="10" t="inlineStr">
        <is>
          <t>At plan - no January finding moves this line</t>
        </is>
      </c>
      <c r="J97" s="7" t="inlineStr">
        <is>
          <t>Y</t>
        </is>
      </c>
    </row>
    <row r="98">
      <c r="A98" s="7" t="inlineStr">
        <is>
          <t>2026-02</t>
        </is>
      </c>
      <c r="B98" s="7" t="inlineStr">
        <is>
          <t>8060</t>
        </is>
      </c>
      <c r="C98" s="7" t="inlineStr">
        <is>
          <t>G&amp;A - insurance</t>
        </is>
      </c>
      <c r="D98" s="8" t="n">
        <v>15666.67</v>
      </c>
      <c r="E98" s="8" t="n"/>
      <c r="F98" s="8" t="n">
        <v>15666.67</v>
      </c>
      <c r="G98" s="8">
        <f>F98-D98</f>
        <v/>
      </c>
      <c r="H98" s="7" t="inlineStr"/>
      <c r="I98" s="10" t="inlineStr">
        <is>
          <t>At plan - no January finding moves this line</t>
        </is>
      </c>
      <c r="J98" s="7" t="inlineStr">
        <is>
          <t>Y</t>
        </is>
      </c>
    </row>
    <row r="99">
      <c r="A99" s="7" t="inlineStr">
        <is>
          <t>2026-02</t>
        </is>
      </c>
      <c r="B99" s="7" t="inlineStr">
        <is>
          <t>8070</t>
        </is>
      </c>
      <c r="C99" s="7" t="inlineStr">
        <is>
          <t>G&amp;A - rent and facilities</t>
        </is>
      </c>
      <c r="D99" s="8" t="n">
        <v>48131.95</v>
      </c>
      <c r="E99" s="8" t="n"/>
      <c r="F99" s="8" t="n">
        <v>48131.95</v>
      </c>
      <c r="G99" s="8">
        <f>F99-D99</f>
        <v/>
      </c>
      <c r="H99" s="7" t="inlineStr"/>
      <c r="I99" s="10" t="inlineStr">
        <is>
          <t>At plan - no January finding moves this line</t>
        </is>
      </c>
      <c r="J99" s="7" t="inlineStr">
        <is>
          <t>Y</t>
        </is>
      </c>
    </row>
    <row r="100">
      <c r="A100" s="7" t="inlineStr">
        <is>
          <t>2026-02</t>
        </is>
      </c>
      <c r="B100" s="7" t="inlineStr">
        <is>
          <t>8080</t>
        </is>
      </c>
      <c r="C100" s="7" t="inlineStr">
        <is>
          <t>G&amp;A - depreciation</t>
        </is>
      </c>
      <c r="D100" s="8" t="n">
        <v>18460</v>
      </c>
      <c r="E100" s="8" t="n"/>
      <c r="F100" s="8" t="n">
        <v>18460</v>
      </c>
      <c r="G100" s="8">
        <f>F100-D100</f>
        <v/>
      </c>
      <c r="H100" s="7" t="inlineStr"/>
      <c r="I100" s="10" t="inlineStr">
        <is>
          <t>At plan - no January finding moves this line</t>
        </is>
      </c>
      <c r="J100" s="7" t="inlineStr">
        <is>
          <t>Y</t>
        </is>
      </c>
    </row>
    <row r="101">
      <c r="A101" s="7" t="inlineStr">
        <is>
          <t>2026-02</t>
        </is>
      </c>
      <c r="B101" s="7" t="inlineStr">
        <is>
          <t>8090</t>
        </is>
      </c>
      <c r="C101" s="7" t="inlineStr">
        <is>
          <t>G&amp;A - credit loss expense</t>
        </is>
      </c>
      <c r="D101" s="8" t="n">
        <v>6530</v>
      </c>
      <c r="E101" s="8" t="n"/>
      <c r="F101" s="8" t="n">
        <v>3980</v>
      </c>
      <c r="G101" s="8">
        <f>F101-D101</f>
        <v/>
      </c>
      <c r="H101" s="7" t="inlineStr">
        <is>
          <t>VP Finance</t>
        </is>
      </c>
      <c r="I101" s="10" t="inlineStr">
        <is>
          <t>+5,100 materializes on the open months. The provision is the CECL aging matrix applied to the actual receivables book; the plan applied the same matrix to a planned book.</t>
        </is>
      </c>
      <c r="J101" s="7" t="inlineStr">
        <is>
          <t>Y</t>
        </is>
      </c>
    </row>
    <row r="102">
      <c r="A102" s="7" t="inlineStr">
        <is>
          <t>2026-02</t>
        </is>
      </c>
      <c r="B102" s="7" t="inlineStr">
        <is>
          <t>8100</t>
        </is>
      </c>
      <c r="C102" s="7" t="inlineStr">
        <is>
          <t>G&amp;A - taxes, licenses and fees</t>
        </is>
      </c>
      <c r="D102" s="8" t="n">
        <v>3128</v>
      </c>
      <c r="E102" s="8" t="n"/>
      <c r="F102" s="8" t="n">
        <v>3128</v>
      </c>
      <c r="G102" s="8">
        <f>F102-D102</f>
        <v/>
      </c>
      <c r="H102" s="7" t="inlineStr">
        <is>
          <t>VP Finance</t>
        </is>
      </c>
      <c r="I102" s="10" t="inlineStr">
        <is>
          <t>At plan - no January finding moves this line</t>
        </is>
      </c>
      <c r="J102" s="7" t="inlineStr">
        <is>
          <t>Y</t>
        </is>
      </c>
    </row>
    <row r="103">
      <c r="A103" s="7" t="inlineStr">
        <is>
          <t>2026-02</t>
        </is>
      </c>
      <c r="B103" s="7" t="inlineStr">
        <is>
          <t>8110</t>
        </is>
      </c>
      <c r="C103" s="7" t="inlineStr">
        <is>
          <t>G&amp;A - recruiting</t>
        </is>
      </c>
      <c r="D103" s="8" t="n">
        <v>16000</v>
      </c>
      <c r="E103" s="8" t="n"/>
      <c r="F103" s="8" t="n">
        <v>27553</v>
      </c>
      <c r="G103" s="8">
        <f>F103-D103</f>
        <v/>
      </c>
      <c r="H103" s="7" t="inlineStr">
        <is>
          <t>Head of People</t>
        </is>
      </c>
      <c r="I103" s="10" t="inlineStr">
        <is>
          <t>-23,106 materializes on the open months. The plan is the problem, not the month.</t>
        </is>
      </c>
      <c r="J103" s="7" t="inlineStr">
        <is>
          <t>Y</t>
        </is>
      </c>
    </row>
    <row r="104">
      <c r="A104" s="7" t="inlineStr">
        <is>
          <t>2026-02</t>
        </is>
      </c>
      <c r="B104" s="7" t="inlineStr">
        <is>
          <t>8120</t>
        </is>
      </c>
      <c r="C104" s="7" t="inlineStr">
        <is>
          <t>G&amp;A - travel</t>
        </is>
      </c>
      <c r="D104" s="8" t="n">
        <v>7570.03</v>
      </c>
      <c r="E104" s="8" t="n"/>
      <c r="F104" s="8" t="n">
        <v>7570.03</v>
      </c>
      <c r="G104" s="8">
        <f>F104-D104</f>
        <v/>
      </c>
      <c r="H104" s="7" t="inlineStr"/>
      <c r="I104" s="10" t="inlineStr">
        <is>
          <t>At plan - no January finding moves this line</t>
        </is>
      </c>
      <c r="J104" s="7" t="inlineStr">
        <is>
          <t>Y</t>
        </is>
      </c>
    </row>
    <row r="105">
      <c r="A105" s="7" t="inlineStr">
        <is>
          <t>2026-02</t>
        </is>
      </c>
      <c r="B105" s="7" t="inlineStr">
        <is>
          <t>8130</t>
        </is>
      </c>
      <c r="C105" s="7" t="inlineStr">
        <is>
          <t>G&amp;A - other</t>
        </is>
      </c>
      <c r="D105" s="8" t="n">
        <v>3427.25</v>
      </c>
      <c r="E105" s="8" t="n"/>
      <c r="F105" s="8" t="n">
        <v>3427.25</v>
      </c>
      <c r="G105" s="8">
        <f>F105-D105</f>
        <v/>
      </c>
      <c r="H105" s="7" t="inlineStr"/>
      <c r="I105" s="10" t="inlineStr">
        <is>
          <t>At plan - no January finding moves this line</t>
        </is>
      </c>
      <c r="J105" s="7" t="inlineStr">
        <is>
          <t>Y</t>
        </is>
      </c>
    </row>
    <row r="106">
      <c r="A106" s="7" t="inlineStr">
        <is>
          <t>2026-02</t>
        </is>
      </c>
      <c r="B106" s="7" t="inlineStr">
        <is>
          <t>8140</t>
        </is>
      </c>
      <c r="C106" s="7" t="inlineStr">
        <is>
          <t>G&amp;A - bank and merchant fees</t>
        </is>
      </c>
      <c r="D106" s="8" t="n">
        <v>3762.48</v>
      </c>
      <c r="E106" s="8" t="n"/>
      <c r="F106" s="8" t="n">
        <v>3762.48</v>
      </c>
      <c r="G106" s="8">
        <f>F106-D106</f>
        <v/>
      </c>
      <c r="H106" s="7" t="inlineStr"/>
      <c r="I106" s="10" t="inlineStr">
        <is>
          <t>At plan - no January finding moves this line</t>
        </is>
      </c>
      <c r="J106" s="7" t="inlineStr">
        <is>
          <t>Y</t>
        </is>
      </c>
    </row>
    <row r="107">
      <c r="A107" s="7" t="inlineStr">
        <is>
          <t>2026-02</t>
        </is>
      </c>
      <c r="B107" s="7" t="inlineStr">
        <is>
          <t>9000</t>
        </is>
      </c>
      <c r="C107" s="7" t="inlineStr">
        <is>
          <t>Interest income</t>
        </is>
      </c>
      <c r="D107" s="8" t="n">
        <v>-80844.37</v>
      </c>
      <c r="E107" s="8" t="n"/>
      <c r="F107" s="8" t="n">
        <v>-80844.37</v>
      </c>
      <c r="G107" s="8">
        <f>F107-D107</f>
        <v/>
      </c>
      <c r="H107" s="7" t="inlineStr"/>
      <c r="I107" s="10" t="inlineStr">
        <is>
          <t>At plan - no January finding moves this line</t>
        </is>
      </c>
      <c r="J107" s="7" t="inlineStr">
        <is>
          <t>Y</t>
        </is>
      </c>
    </row>
    <row r="108">
      <c r="A108" s="7" t="inlineStr">
        <is>
          <t>2026-02</t>
        </is>
      </c>
      <c r="B108" s="7" t="inlineStr">
        <is>
          <t>9030</t>
        </is>
      </c>
      <c r="C108" s="7" t="inlineStr">
        <is>
          <t>Income tax expense</t>
        </is>
      </c>
      <c r="D108" s="8" t="n">
        <v>4000</v>
      </c>
      <c r="E108" s="8" t="n"/>
      <c r="F108" s="8" t="n">
        <v>4000</v>
      </c>
      <c r="G108" s="8">
        <f>F108-D108</f>
        <v/>
      </c>
      <c r="H108" s="7" t="inlineStr"/>
      <c r="I108" s="10" t="inlineStr">
        <is>
          <t>At plan - no January finding moves this line</t>
        </is>
      </c>
      <c r="J108" s="7" t="inlineStr">
        <is>
          <t>Y</t>
        </is>
      </c>
    </row>
    <row r="109">
      <c r="A109" s="7" t="inlineStr">
        <is>
          <t>2026-03</t>
        </is>
      </c>
      <c r="B109" s="7" t="inlineStr">
        <is>
          <t>4000</t>
        </is>
      </c>
      <c r="C109" s="7" t="inlineStr">
        <is>
          <t>Subscription revenue - platform</t>
        </is>
      </c>
      <c r="D109" s="8" t="n">
        <v>-1679209.7</v>
      </c>
      <c r="E109" s="8" t="n"/>
      <c r="F109" s="8" t="n">
        <v>-1679209.7</v>
      </c>
      <c r="G109" s="8">
        <f>F109-D109</f>
        <v/>
      </c>
      <c r="H109" s="7" t="inlineStr">
        <is>
          <t>VP Sales</t>
        </is>
      </c>
      <c r="I109" s="10" t="inlineStr">
        <is>
          <t>At plan - no January finding moves this line</t>
        </is>
      </c>
      <c r="J109" s="7" t="inlineStr">
        <is>
          <t>Y</t>
        </is>
      </c>
    </row>
    <row r="110">
      <c r="A110" s="7" t="inlineStr">
        <is>
          <t>2026-03</t>
        </is>
      </c>
      <c r="B110" s="7" t="inlineStr">
        <is>
          <t>4010</t>
        </is>
      </c>
      <c r="C110" s="7" t="inlineStr">
        <is>
          <t>Usage revenue - overage</t>
        </is>
      </c>
      <c r="D110" s="8" t="n">
        <v>-228372.52</v>
      </c>
      <c r="E110" s="8" t="n"/>
      <c r="F110" s="8" t="n">
        <v>-270444.83</v>
      </c>
      <c r="G110" s="8">
        <f>F110-D110</f>
        <v/>
      </c>
      <c r="H110" s="7" t="inlineStr">
        <is>
          <t>Dir. RevOps</t>
        </is>
      </c>
      <c r="I110" s="10" t="inlineStr">
        <is>
          <t>-84,145 materializes on the open months. Two causes.</t>
        </is>
      </c>
      <c r="J110" s="7" t="inlineStr">
        <is>
          <t>Y</t>
        </is>
      </c>
    </row>
    <row r="111">
      <c r="A111" s="7" t="inlineStr">
        <is>
          <t>2026-03</t>
        </is>
      </c>
      <c r="B111" s="7" t="inlineStr">
        <is>
          <t>4020</t>
        </is>
      </c>
      <c r="C111" s="7" t="inlineStr">
        <is>
          <t>Professional services revenue</t>
        </is>
      </c>
      <c r="D111" s="8" t="n">
        <v>-96800</v>
      </c>
      <c r="E111" s="8" t="n"/>
      <c r="F111" s="8" t="n">
        <v>-96800</v>
      </c>
      <c r="G111" s="8">
        <f>F111-D111</f>
        <v/>
      </c>
      <c r="H111" s="7" t="inlineStr">
        <is>
          <t>Dir. Professional Services</t>
        </is>
      </c>
      <c r="I111" s="10" t="inlineStr">
        <is>
          <t>At plan - no January finding moves this line</t>
        </is>
      </c>
      <c r="J111" s="7" t="inlineStr">
        <is>
          <t>Y</t>
        </is>
      </c>
    </row>
    <row r="112">
      <c r="A112" s="7" t="inlineStr">
        <is>
          <t>2026-03</t>
        </is>
      </c>
      <c r="B112" s="7" t="inlineStr">
        <is>
          <t>4030</t>
        </is>
      </c>
      <c r="C112" s="7" t="inlineStr">
        <is>
          <t>Other revenue</t>
        </is>
      </c>
      <c r="D112" s="8" t="n">
        <v>-8000</v>
      </c>
      <c r="E112" s="8" t="n"/>
      <c r="F112" s="8" t="n">
        <v>-8000</v>
      </c>
      <c r="G112" s="8">
        <f>F112-D112</f>
        <v/>
      </c>
      <c r="H112" s="7" t="inlineStr">
        <is>
          <t>VP Customer Success</t>
        </is>
      </c>
      <c r="I112" s="10" t="inlineStr">
        <is>
          <t>At plan - no January finding moves this line</t>
        </is>
      </c>
      <c r="J112" s="7" t="inlineStr">
        <is>
          <t>Y</t>
        </is>
      </c>
    </row>
    <row r="113">
      <c r="A113" s="7" t="inlineStr">
        <is>
          <t>2026-03</t>
        </is>
      </c>
      <c r="B113" s="7" t="inlineStr">
        <is>
          <t>4090</t>
        </is>
      </c>
      <c r="C113" s="7" t="inlineStr">
        <is>
          <t>Contra revenue - credits and refunds</t>
        </is>
      </c>
      <c r="D113" s="8" t="n">
        <v>2000</v>
      </c>
      <c r="E113" s="8" t="n"/>
      <c r="F113" s="8" t="n">
        <v>2000</v>
      </c>
      <c r="G113" s="8">
        <f>F113-D113</f>
        <v/>
      </c>
      <c r="H113" s="7" t="inlineStr">
        <is>
          <t>VP Customer Success</t>
        </is>
      </c>
      <c r="I113" s="10" t="inlineStr">
        <is>
          <t>At plan - no January finding moves this line</t>
        </is>
      </c>
      <c r="J113" s="7" t="inlineStr">
        <is>
          <t>Y</t>
        </is>
      </c>
    </row>
    <row r="114">
      <c r="A114" s="7" t="inlineStr">
        <is>
          <t>2026-03</t>
        </is>
      </c>
      <c r="B114" s="7" t="inlineStr">
        <is>
          <t>5000</t>
        </is>
      </c>
      <c r="C114" s="7" t="inlineStr">
        <is>
          <t>COGS - model and inference API</t>
        </is>
      </c>
      <c r="D114" s="8" t="n">
        <v>116485.6</v>
      </c>
      <c r="E114" s="8" t="n"/>
      <c r="F114" s="8" t="n">
        <v>116485.6</v>
      </c>
      <c r="G114" s="8">
        <f>F114-D114</f>
        <v/>
      </c>
      <c r="H114" s="7" t="inlineStr">
        <is>
          <t>Head of Infrastructure</t>
        </is>
      </c>
      <c r="I114" s="10" t="inlineStr">
        <is>
          <t>At plan - no January finding moves this line</t>
        </is>
      </c>
      <c r="J114" s="7" t="inlineStr">
        <is>
          <t>Y</t>
        </is>
      </c>
    </row>
    <row r="115">
      <c r="A115" s="7" t="inlineStr">
        <is>
          <t>2026-03</t>
        </is>
      </c>
      <c r="B115" s="7" t="inlineStr">
        <is>
          <t>5010</t>
        </is>
      </c>
      <c r="C115" s="7" t="inlineStr">
        <is>
          <t>COGS - cloud hosting and storage</t>
        </is>
      </c>
      <c r="D115" s="8" t="n">
        <v>109511.01</v>
      </c>
      <c r="E115" s="8" t="n"/>
      <c r="F115" s="8" t="n">
        <v>109511.01</v>
      </c>
      <c r="G115" s="8">
        <f>F115-D115</f>
        <v/>
      </c>
      <c r="H115" s="7" t="inlineStr">
        <is>
          <t>Head of Infrastructure</t>
        </is>
      </c>
      <c r="I115" s="10" t="inlineStr">
        <is>
          <t>At plan - no January finding moves this line</t>
        </is>
      </c>
      <c r="J115" s="7" t="inlineStr">
        <is>
          <t>Y</t>
        </is>
      </c>
    </row>
    <row r="116">
      <c r="A116" s="7" t="inlineStr">
        <is>
          <t>2026-03</t>
        </is>
      </c>
      <c r="B116" s="7" t="inlineStr">
        <is>
          <t>5020</t>
        </is>
      </c>
      <c r="C116" s="7" t="inlineStr">
        <is>
          <t>COGS - dedicated GPU compute</t>
        </is>
      </c>
      <c r="D116" s="8" t="n">
        <v>39000</v>
      </c>
      <c r="E116" s="8" t="n"/>
      <c r="F116" s="8" t="n">
        <v>39000</v>
      </c>
      <c r="G116" s="8">
        <f>F116-D116</f>
        <v/>
      </c>
      <c r="H116" s="7" t="inlineStr"/>
      <c r="I116" s="10" t="inlineStr">
        <is>
          <t>At plan - no January finding moves this line</t>
        </is>
      </c>
      <c r="J116" s="7" t="inlineStr">
        <is>
          <t>Y</t>
        </is>
      </c>
    </row>
    <row r="117">
      <c r="A117" s="7" t="inlineStr">
        <is>
          <t>2026-03</t>
        </is>
      </c>
      <c r="B117" s="7" t="inlineStr">
        <is>
          <t>5030</t>
        </is>
      </c>
      <c r="C117" s="7" t="inlineStr">
        <is>
          <t>COGS - third-party data and APIs</t>
        </is>
      </c>
      <c r="D117" s="8" t="n">
        <v>23192.5</v>
      </c>
      <c r="E117" s="8" t="n"/>
      <c r="F117" s="8" t="n">
        <v>23192.5</v>
      </c>
      <c r="G117" s="8">
        <f>F117-D117</f>
        <v/>
      </c>
      <c r="H117" s="7" t="inlineStr">
        <is>
          <t>Head of Infrastructure</t>
        </is>
      </c>
      <c r="I117" s="10" t="inlineStr">
        <is>
          <t>At plan - no January finding moves this line</t>
        </is>
      </c>
      <c r="J117" s="7" t="inlineStr">
        <is>
          <t>Y</t>
        </is>
      </c>
    </row>
    <row r="118">
      <c r="A118" s="7" t="inlineStr">
        <is>
          <t>2026-03</t>
        </is>
      </c>
      <c r="B118" s="7" t="inlineStr">
        <is>
          <t>5040</t>
        </is>
      </c>
      <c r="C118" s="7" t="inlineStr">
        <is>
          <t>COGS - support payroll</t>
        </is>
      </c>
      <c r="D118" s="8" t="n">
        <v>55000</v>
      </c>
      <c r="E118" s="8" t="n"/>
      <c r="F118" s="8" t="n">
        <v>55000</v>
      </c>
      <c r="G118" s="8">
        <f>F118-D118</f>
        <v/>
      </c>
      <c r="H118" s="7" t="inlineStr">
        <is>
          <t>VP Customer Success</t>
        </is>
      </c>
      <c r="I118" s="10" t="inlineStr">
        <is>
          <t>At plan - no January finding moves this line</t>
        </is>
      </c>
      <c r="J118" s="7" t="inlineStr">
        <is>
          <t>Y</t>
        </is>
      </c>
    </row>
    <row r="119">
      <c r="A119" s="7" t="inlineStr">
        <is>
          <t>2026-03</t>
        </is>
      </c>
      <c r="B119" s="7" t="inlineStr">
        <is>
          <t>5050</t>
        </is>
      </c>
      <c r="C119" s="7" t="inlineStr">
        <is>
          <t>COGS - professional services payroll</t>
        </is>
      </c>
      <c r="D119" s="8" t="n">
        <v>55000</v>
      </c>
      <c r="E119" s="8" t="n"/>
      <c r="F119" s="8" t="n">
        <v>55000</v>
      </c>
      <c r="G119" s="8">
        <f>F119-D119</f>
        <v/>
      </c>
      <c r="H119" s="7" t="inlineStr">
        <is>
          <t>Dir. Professional Services</t>
        </is>
      </c>
      <c r="I119" s="10" t="inlineStr">
        <is>
          <t>At plan - no January finding moves this line</t>
        </is>
      </c>
      <c r="J119" s="7" t="inlineStr">
        <is>
          <t>Y</t>
        </is>
      </c>
    </row>
    <row r="120">
      <c r="A120" s="7" t="inlineStr">
        <is>
          <t>2026-03</t>
        </is>
      </c>
      <c r="B120" s="7" t="inlineStr">
        <is>
          <t>5060</t>
        </is>
      </c>
      <c r="C120" s="7" t="inlineStr">
        <is>
          <t>COGS - delivery contractors</t>
        </is>
      </c>
      <c r="D120" s="8" t="n">
        <v>16289.06</v>
      </c>
      <c r="E120" s="8" t="n"/>
      <c r="F120" s="8" t="n">
        <v>16289.06</v>
      </c>
      <c r="G120" s="8">
        <f>F120-D120</f>
        <v/>
      </c>
      <c r="H120" s="7" t="inlineStr">
        <is>
          <t>Dir. Professional Services</t>
        </is>
      </c>
      <c r="I120" s="10" t="inlineStr">
        <is>
          <t>At plan - no January finding moves this line</t>
        </is>
      </c>
      <c r="J120" s="7" t="inlineStr">
        <is>
          <t>Y</t>
        </is>
      </c>
    </row>
    <row r="121">
      <c r="A121" s="7" t="inlineStr">
        <is>
          <t>2026-03</t>
        </is>
      </c>
      <c r="B121" s="7" t="inlineStr">
        <is>
          <t>5070</t>
        </is>
      </c>
      <c r="C121" s="7" t="inlineStr">
        <is>
          <t>COGS - amortization of capitalized software</t>
        </is>
      </c>
      <c r="D121" s="8" t="n">
        <v>46300</v>
      </c>
      <c r="E121" s="8" t="n"/>
      <c r="F121" s="8" t="n">
        <v>46300</v>
      </c>
      <c r="G121" s="8">
        <f>F121-D121</f>
        <v/>
      </c>
      <c r="H121" s="7" t="inlineStr">
        <is>
          <t>VP Finance</t>
        </is>
      </c>
      <c r="I121" s="10" t="inlineStr">
        <is>
          <t>At plan - no January finding moves this line</t>
        </is>
      </c>
      <c r="J121" s="7" t="inlineStr">
        <is>
          <t>Y</t>
        </is>
      </c>
    </row>
    <row r="122">
      <c r="A122" s="7" t="inlineStr">
        <is>
          <t>2026-03</t>
        </is>
      </c>
      <c r="B122" s="7" t="inlineStr">
        <is>
          <t>5080</t>
        </is>
      </c>
      <c r="C122" s="7" t="inlineStr">
        <is>
          <t>COGS - payment processing fees</t>
        </is>
      </c>
      <c r="D122" s="8" t="n">
        <v>11469.6</v>
      </c>
      <c r="E122" s="8" t="n"/>
      <c r="F122" s="8" t="n">
        <v>11469.6</v>
      </c>
      <c r="G122" s="8">
        <f>F122-D122</f>
        <v/>
      </c>
      <c r="H122" s="7" t="inlineStr">
        <is>
          <t>VP Finance</t>
        </is>
      </c>
      <c r="I122" s="10" t="inlineStr">
        <is>
          <t>At plan - no January finding moves this line</t>
        </is>
      </c>
      <c r="J122" s="7" t="inlineStr">
        <is>
          <t>Y</t>
        </is>
      </c>
    </row>
    <row r="123">
      <c r="A123" s="7" t="inlineStr">
        <is>
          <t>2026-03</t>
        </is>
      </c>
      <c r="B123" s="7" t="inlineStr">
        <is>
          <t>5090</t>
        </is>
      </c>
      <c r="C123" s="7" t="inlineStr">
        <is>
          <t>COGS - other</t>
        </is>
      </c>
      <c r="D123" s="8" t="n">
        <v>3613.01</v>
      </c>
      <c r="E123" s="8" t="n"/>
      <c r="F123" s="8" t="n">
        <v>3613.01</v>
      </c>
      <c r="G123" s="8">
        <f>F123-D123</f>
        <v/>
      </c>
      <c r="H123" s="7" t="inlineStr">
        <is>
          <t>VP Finance</t>
        </is>
      </c>
      <c r="I123" s="10" t="inlineStr">
        <is>
          <t>At plan - no January finding moves this line</t>
        </is>
      </c>
      <c r="J123" s="7" t="inlineStr">
        <is>
          <t>Y</t>
        </is>
      </c>
    </row>
    <row r="124">
      <c r="A124" s="7" t="inlineStr">
        <is>
          <t>2026-03</t>
        </is>
      </c>
      <c r="B124" s="7" t="inlineStr">
        <is>
          <t>6000</t>
        </is>
      </c>
      <c r="C124" s="7" t="inlineStr">
        <is>
          <t>R&amp;D - salaries and wages</t>
        </is>
      </c>
      <c r="D124" s="8" t="n">
        <v>680351.73</v>
      </c>
      <c r="E124" s="8" t="n"/>
      <c r="F124" s="8" t="n">
        <v>680351.73</v>
      </c>
      <c r="G124" s="8">
        <f>F124-D124</f>
        <v/>
      </c>
      <c r="H124" s="7" t="inlineStr">
        <is>
          <t>Priya Raghavan (VP Engineering)</t>
        </is>
      </c>
      <c r="I124" s="10" t="inlineStr">
        <is>
          <t>At plan - no January finding moves this line</t>
        </is>
      </c>
      <c r="J124" s="7" t="inlineStr">
        <is>
          <t>Y</t>
        </is>
      </c>
    </row>
    <row r="125">
      <c r="A125" s="7" t="inlineStr">
        <is>
          <t>2026-03</t>
        </is>
      </c>
      <c r="B125" s="7" t="inlineStr">
        <is>
          <t>6010</t>
        </is>
      </c>
      <c r="C125" s="7" t="inlineStr">
        <is>
          <t>R&amp;D - payroll taxes and benefits</t>
        </is>
      </c>
      <c r="D125" s="8" t="n">
        <v>131013.2</v>
      </c>
      <c r="E125" s="8" t="n"/>
      <c r="F125" s="8" t="n">
        <v>131013.2</v>
      </c>
      <c r="G125" s="8">
        <f>F125-D125</f>
        <v/>
      </c>
      <c r="H125" s="7" t="inlineStr">
        <is>
          <t>Cara Nwosu (Head of People)</t>
        </is>
      </c>
      <c r="I125" s="10" t="inlineStr">
        <is>
          <t>At plan - no January finding moves this line</t>
        </is>
      </c>
      <c r="J125" s="7" t="inlineStr">
        <is>
          <t>Y</t>
        </is>
      </c>
    </row>
    <row r="126">
      <c r="A126" s="7" t="inlineStr">
        <is>
          <t>2026-03</t>
        </is>
      </c>
      <c r="B126" s="7" t="inlineStr">
        <is>
          <t>6020</t>
        </is>
      </c>
      <c r="C126" s="7" t="inlineStr">
        <is>
          <t>R&amp;D - stock-based compensation</t>
        </is>
      </c>
      <c r="D126" s="8" t="n">
        <v>87565.03999999999</v>
      </c>
      <c r="E126" s="8" t="n"/>
      <c r="F126" s="8" t="n">
        <v>87565.03999999999</v>
      </c>
      <c r="G126" s="8">
        <f>F126-D126</f>
        <v/>
      </c>
      <c r="H126" s="7" t="inlineStr"/>
      <c r="I126" s="10" t="inlineStr">
        <is>
          <t>At plan - no January finding moves this line</t>
        </is>
      </c>
      <c r="J126" s="7" t="inlineStr">
        <is>
          <t>Y</t>
        </is>
      </c>
    </row>
    <row r="127">
      <c r="A127" s="7" t="inlineStr">
        <is>
          <t>2026-03</t>
        </is>
      </c>
      <c r="B127" s="7" t="inlineStr">
        <is>
          <t>6030</t>
        </is>
      </c>
      <c r="C127" s="7" t="inlineStr">
        <is>
          <t>R&amp;D - contractors</t>
        </is>
      </c>
      <c r="D127" s="8" t="n">
        <v>33081.42</v>
      </c>
      <c r="E127" s="8" t="n"/>
      <c r="F127" s="8" t="n">
        <v>33081.42</v>
      </c>
      <c r="G127" s="8">
        <f>F127-D127</f>
        <v/>
      </c>
      <c r="H127" s="7" t="inlineStr">
        <is>
          <t>Priya Raghavan (VP Engineering)</t>
        </is>
      </c>
      <c r="I127" s="10" t="inlineStr">
        <is>
          <t>At plan - no January finding moves this line</t>
        </is>
      </c>
      <c r="J127" s="7" t="inlineStr">
        <is>
          <t>Y</t>
        </is>
      </c>
    </row>
    <row r="128">
      <c r="A128" s="7" t="inlineStr">
        <is>
          <t>2026-03</t>
        </is>
      </c>
      <c r="B128" s="7" t="inlineStr">
        <is>
          <t>6040</t>
        </is>
      </c>
      <c r="C128" s="7" t="inlineStr">
        <is>
          <t>R&amp;D - software and developer tools</t>
        </is>
      </c>
      <c r="D128" s="8" t="n">
        <v>50643.13</v>
      </c>
      <c r="E128" s="8" t="n"/>
      <c r="F128" s="8" t="n">
        <v>50643.13</v>
      </c>
      <c r="G128" s="8">
        <f>F128-D128</f>
        <v/>
      </c>
      <c r="H128" s="7" t="inlineStr">
        <is>
          <t>Marcus Bell (Head of Infrastructure) with the Accounting Manager</t>
        </is>
      </c>
      <c r="I128" s="10" t="inlineStr">
        <is>
          <t>At plan - no January finding moves this line</t>
        </is>
      </c>
      <c r="J128" s="7" t="inlineStr">
        <is>
          <t>Y</t>
        </is>
      </c>
    </row>
    <row r="129">
      <c r="A129" s="7" t="inlineStr">
        <is>
          <t>2026-03</t>
        </is>
      </c>
      <c r="B129" s="7" t="inlineStr">
        <is>
          <t>6050</t>
        </is>
      </c>
      <c r="C129" s="7" t="inlineStr">
        <is>
          <t>R&amp;D - research compute</t>
        </is>
      </c>
      <c r="D129" s="8" t="n">
        <v>26662.85</v>
      </c>
      <c r="E129" s="8" t="n"/>
      <c r="F129" s="8" t="n">
        <v>26662.85</v>
      </c>
      <c r="G129" s="8">
        <f>F129-D129</f>
        <v/>
      </c>
      <c r="H129" s="7" t="inlineStr">
        <is>
          <t>Marcus Bell (Head of Infrastructure) - contract; Tomas Lindqvist (Head of Applied Research) - cost center CC-210</t>
        </is>
      </c>
      <c r="I129" s="10" t="inlineStr">
        <is>
          <t>At plan - no January finding moves this line</t>
        </is>
      </c>
      <c r="J129" s="7" t="inlineStr">
        <is>
          <t>Y</t>
        </is>
      </c>
    </row>
    <row r="130">
      <c r="A130" s="7" t="inlineStr">
        <is>
          <t>2026-03</t>
        </is>
      </c>
      <c r="B130" s="7" t="inlineStr">
        <is>
          <t>6060</t>
        </is>
      </c>
      <c r="C130" s="7" t="inlineStr">
        <is>
          <t>R&amp;D - recruiting</t>
        </is>
      </c>
      <c r="D130" s="8" t="n">
        <v>11200</v>
      </c>
      <c r="E130" s="8" t="n"/>
      <c r="F130" s="8" t="n">
        <v>11200</v>
      </c>
      <c r="G130" s="8">
        <f>F130-D130</f>
        <v/>
      </c>
      <c r="H130" s="7" t="inlineStr"/>
      <c r="I130" s="10" t="inlineStr">
        <is>
          <t>At plan - no January finding moves this line</t>
        </is>
      </c>
      <c r="J130" s="7" t="inlineStr">
        <is>
          <t>Y</t>
        </is>
      </c>
    </row>
    <row r="131">
      <c r="A131" s="7" t="inlineStr">
        <is>
          <t>2026-03</t>
        </is>
      </c>
      <c r="B131" s="7" t="inlineStr">
        <is>
          <t>6070</t>
        </is>
      </c>
      <c r="C131" s="7" t="inlineStr">
        <is>
          <t>R&amp;D - travel</t>
        </is>
      </c>
      <c r="D131" s="8" t="n">
        <v>7442.37</v>
      </c>
      <c r="E131" s="8" t="n"/>
      <c r="F131" s="8" t="n">
        <v>7442.37</v>
      </c>
      <c r="G131" s="8">
        <f>F131-D131</f>
        <v/>
      </c>
      <c r="H131" s="7" t="inlineStr"/>
      <c r="I131" s="10" t="inlineStr">
        <is>
          <t>At plan - no January finding moves this line</t>
        </is>
      </c>
      <c r="J131" s="7" t="inlineStr">
        <is>
          <t>Y</t>
        </is>
      </c>
    </row>
    <row r="132">
      <c r="A132" s="7" t="inlineStr">
        <is>
          <t>2026-03</t>
        </is>
      </c>
      <c r="B132" s="7" t="inlineStr">
        <is>
          <t>6080</t>
        </is>
      </c>
      <c r="C132" s="7" t="inlineStr">
        <is>
          <t>R&amp;D - capitalized software labor (contra)</t>
        </is>
      </c>
      <c r="D132" s="8" t="n">
        <v>-64937.47</v>
      </c>
      <c r="E132" s="8" t="n"/>
      <c r="F132" s="8" t="n">
        <v>-27905.35</v>
      </c>
      <c r="G132" s="8">
        <f>F132-D132</f>
        <v/>
      </c>
      <c r="H132" s="7" t="inlineStr">
        <is>
          <t>M. Halloran (Controller) with Priya Raghavan (VP Engineering)</t>
        </is>
      </c>
      <c r="I132" s="10" t="inlineStr">
        <is>
          <t>-74,064 materializes on the open months. USD 19,510.99 of the January capitalization is ARC-IUS-004 Model evaluation harness, carried at Preliminary project stage since June 2025 - not....</t>
        </is>
      </c>
      <c r="J132" s="7" t="inlineStr">
        <is>
          <t>Y</t>
        </is>
      </c>
    </row>
    <row r="133">
      <c r="A133" s="7" t="inlineStr">
        <is>
          <t>2026-03</t>
        </is>
      </c>
      <c r="B133" s="7" t="inlineStr">
        <is>
          <t>6090</t>
        </is>
      </c>
      <c r="C133" s="7" t="inlineStr">
        <is>
          <t>R&amp;D - other</t>
        </is>
      </c>
      <c r="D133" s="8" t="n">
        <v>4645.3</v>
      </c>
      <c r="E133" s="8" t="n"/>
      <c r="F133" s="8" t="n">
        <v>4645.3</v>
      </c>
      <c r="G133" s="8">
        <f>F133-D133</f>
        <v/>
      </c>
      <c r="H133" s="7" t="inlineStr"/>
      <c r="I133" s="10" t="inlineStr">
        <is>
          <t>At plan - no January finding moves this line</t>
        </is>
      </c>
      <c r="J133" s="7" t="inlineStr">
        <is>
          <t>Y</t>
        </is>
      </c>
    </row>
    <row r="134">
      <c r="A134" s="7" t="inlineStr">
        <is>
          <t>2026-03</t>
        </is>
      </c>
      <c r="B134" s="7" t="inlineStr">
        <is>
          <t>7000</t>
        </is>
      </c>
      <c r="C134" s="7" t="inlineStr">
        <is>
          <t>S&amp;M - salaries and wages</t>
        </is>
      </c>
      <c r="D134" s="8" t="n">
        <v>449993.9</v>
      </c>
      <c r="E134" s="8" t="n"/>
      <c r="F134" s="8" t="n">
        <v>322493.9</v>
      </c>
      <c r="G134" s="8">
        <f>F134-D134</f>
        <v/>
      </c>
      <c r="H134" s="7" t="inlineStr">
        <is>
          <t>Head of People</t>
        </is>
      </c>
      <c r="I134" s="10" t="inlineStr">
        <is>
          <t>+255,000 materializes on the open months. Loaded cost per head, not heads.</t>
        </is>
      </c>
      <c r="J134" s="7" t="inlineStr">
        <is>
          <t>Y</t>
        </is>
      </c>
    </row>
    <row r="135">
      <c r="A135" s="7" t="inlineStr">
        <is>
          <t>2026-03</t>
        </is>
      </c>
      <c r="B135" s="7" t="inlineStr">
        <is>
          <t>7010</t>
        </is>
      </c>
      <c r="C135" s="7" t="inlineStr">
        <is>
          <t>S&amp;M - payroll taxes and benefits</t>
        </is>
      </c>
      <c r="D135" s="8" t="n">
        <v>90607.25999999999</v>
      </c>
      <c r="E135" s="8" t="n"/>
      <c r="F135" s="8" t="n">
        <v>68607.25999999999</v>
      </c>
      <c r="G135" s="8">
        <f>F135-D135</f>
        <v/>
      </c>
      <c r="H135" s="7" t="inlineStr">
        <is>
          <t>Head of People</t>
        </is>
      </c>
      <c r="I135" s="10" t="inlineStr">
        <is>
          <t>+44,000 materializes on the open months. Employer burden at 21.2 percent moving with the same base as 7000.</t>
        </is>
      </c>
      <c r="J135" s="7" t="inlineStr">
        <is>
          <t>Y</t>
        </is>
      </c>
    </row>
    <row r="136">
      <c r="A136" s="7" t="inlineStr">
        <is>
          <t>2026-03</t>
        </is>
      </c>
      <c r="B136" s="7" t="inlineStr">
        <is>
          <t>7020</t>
        </is>
      </c>
      <c r="C136" s="7" t="inlineStr">
        <is>
          <t>S&amp;M - stock-based compensation</t>
        </is>
      </c>
      <c r="D136" s="8" t="n">
        <v>58376.7</v>
      </c>
      <c r="E136" s="8" t="n"/>
      <c r="F136" s="8" t="n">
        <v>58376.7</v>
      </c>
      <c r="G136" s="8">
        <f>F136-D136</f>
        <v/>
      </c>
      <c r="H136" s="7" t="inlineStr"/>
      <c r="I136" s="10" t="inlineStr">
        <is>
          <t>At plan - no January finding moves this line</t>
        </is>
      </c>
      <c r="J136" s="7" t="inlineStr">
        <is>
          <t>Y</t>
        </is>
      </c>
    </row>
    <row r="137">
      <c r="A137" s="7" t="inlineStr">
        <is>
          <t>2026-03</t>
        </is>
      </c>
      <c r="B137" s="7" t="inlineStr">
        <is>
          <t>7030</t>
        </is>
      </c>
      <c r="C137" s="7" t="inlineStr">
        <is>
          <t>S&amp;M - sales commissions</t>
        </is>
      </c>
      <c r="D137" s="8" t="n">
        <v>103820.83</v>
      </c>
      <c r="E137" s="8" t="n"/>
      <c r="F137" s="8" t="n">
        <v>103820.83</v>
      </c>
      <c r="G137" s="8">
        <f>F137-D137</f>
        <v/>
      </c>
      <c r="H137" s="7" t="inlineStr">
        <is>
          <t>Dir. RevOps</t>
        </is>
      </c>
      <c r="I137" s="10" t="inlineStr">
        <is>
          <t>At plan - no January finding moves this line</t>
        </is>
      </c>
      <c r="J137" s="7" t="inlineStr">
        <is>
          <t>Y</t>
        </is>
      </c>
    </row>
    <row r="138">
      <c r="A138" s="7" t="inlineStr">
        <is>
          <t>2026-03</t>
        </is>
      </c>
      <c r="B138" s="7" t="inlineStr">
        <is>
          <t>7040</t>
        </is>
      </c>
      <c r="C138" s="7" t="inlineStr">
        <is>
          <t>S&amp;M - demand generation and paid media</t>
        </is>
      </c>
      <c r="D138" s="8" t="n">
        <v>78283.32000000001</v>
      </c>
      <c r="E138" s="8" t="n"/>
      <c r="F138" s="8" t="n">
        <v>85283.32000000001</v>
      </c>
      <c r="G138" s="8">
        <f>F138-D138</f>
        <v/>
      </c>
      <c r="H138" s="7" t="inlineStr">
        <is>
          <t>VP Marketing</t>
        </is>
      </c>
      <c r="I138" s="10" t="inlineStr">
        <is>
          <t>-14,000 materializes on the open months. Pure media, no agency or event content in this account.</t>
        </is>
      </c>
      <c r="J138" s="7" t="inlineStr">
        <is>
          <t>Y</t>
        </is>
      </c>
    </row>
    <row r="139">
      <c r="A139" s="7" t="inlineStr">
        <is>
          <t>2026-03</t>
        </is>
      </c>
      <c r="B139" s="7" t="inlineStr">
        <is>
          <t>7050</t>
        </is>
      </c>
      <c r="C139" s="7" t="inlineStr">
        <is>
          <t>S&amp;M - events and conferences</t>
        </is>
      </c>
      <c r="D139" s="8" t="n">
        <v>26880.01</v>
      </c>
      <c r="E139" s="8" t="n"/>
      <c r="F139" s="8" t="n">
        <v>26880.01</v>
      </c>
      <c r="G139" s="8">
        <f>F139-D139</f>
        <v/>
      </c>
      <c r="H139" s="7" t="inlineStr">
        <is>
          <t>VP Marketing</t>
        </is>
      </c>
      <c r="I139" s="10" t="inlineStr">
        <is>
          <t>At plan - no January finding moves this line</t>
        </is>
      </c>
      <c r="J139" s="7" t="inlineStr">
        <is>
          <t>Y</t>
        </is>
      </c>
    </row>
    <row r="140">
      <c r="A140" s="7" t="inlineStr">
        <is>
          <t>2026-03</t>
        </is>
      </c>
      <c r="B140" s="7" t="inlineStr">
        <is>
          <t>7060</t>
        </is>
      </c>
      <c r="C140" s="7" t="inlineStr">
        <is>
          <t>S&amp;M - software and tools</t>
        </is>
      </c>
      <c r="D140" s="8" t="n">
        <v>64416.66</v>
      </c>
      <c r="E140" s="8" t="n"/>
      <c r="F140" s="8" t="n">
        <v>73666.66</v>
      </c>
      <c r="G140" s="8">
        <f>F140-D140</f>
        <v/>
      </c>
      <c r="H140" s="7" t="inlineStr">
        <is>
          <t>Dir. RevOps</t>
        </is>
      </c>
      <c r="I140" s="10" t="inlineStr">
        <is>
          <t>-18,500 materializes on the open months. Auto-renewal uplift, not consumption.</t>
        </is>
      </c>
      <c r="J140" s="7" t="inlineStr">
        <is>
          <t>Y</t>
        </is>
      </c>
    </row>
    <row r="141">
      <c r="A141" s="7" t="inlineStr">
        <is>
          <t>2026-03</t>
        </is>
      </c>
      <c r="B141" s="7" t="inlineStr">
        <is>
          <t>7070</t>
        </is>
      </c>
      <c r="C141" s="7" t="inlineStr">
        <is>
          <t>S&amp;M - travel and entertainment</t>
        </is>
      </c>
      <c r="D141" s="8" t="n">
        <v>26099.84</v>
      </c>
      <c r="E141" s="8" t="n"/>
      <c r="F141" s="8" t="n">
        <v>27299.84</v>
      </c>
      <c r="G141" s="8">
        <f>F141-D141</f>
        <v/>
      </c>
      <c r="H141" s="7" t="inlineStr">
        <is>
          <t>VP Sales</t>
        </is>
      </c>
      <c r="I141" s="10" t="inlineStr">
        <is>
          <t>-2,400 materializes on the open months. Benchmark is budget per head x budgeted headcount, so it splits two ways.</t>
        </is>
      </c>
      <c r="J141" s="7" t="inlineStr">
        <is>
          <t>Y</t>
        </is>
      </c>
    </row>
    <row r="142">
      <c r="A142" s="7" t="inlineStr">
        <is>
          <t>2026-03</t>
        </is>
      </c>
      <c r="B142" s="7" t="inlineStr">
        <is>
          <t>7080</t>
        </is>
      </c>
      <c r="C142" s="7" t="inlineStr">
        <is>
          <t>S&amp;M - agencies and contractors</t>
        </is>
      </c>
      <c r="D142" s="8" t="n">
        <v>18525.74</v>
      </c>
      <c r="E142" s="8" t="n"/>
      <c r="F142" s="8" t="n">
        <v>18525.74</v>
      </c>
      <c r="G142" s="8">
        <f>F142-D142</f>
        <v/>
      </c>
      <c r="H142" s="7" t="inlineStr">
        <is>
          <t>VP Marketing</t>
        </is>
      </c>
      <c r="I142" s="10" t="inlineStr">
        <is>
          <t>At plan - no January finding moves this line</t>
        </is>
      </c>
      <c r="J142" s="7" t="inlineStr">
        <is>
          <t>Y</t>
        </is>
      </c>
    </row>
    <row r="143">
      <c r="A143" s="7" t="inlineStr">
        <is>
          <t>2026-03</t>
        </is>
      </c>
      <c r="B143" s="7" t="inlineStr">
        <is>
          <t>7090</t>
        </is>
      </c>
      <c r="C143" s="7" t="inlineStr">
        <is>
          <t>S&amp;M - other</t>
        </is>
      </c>
      <c r="D143" s="8" t="n">
        <v>4473.25</v>
      </c>
      <c r="E143" s="8" t="n"/>
      <c r="F143" s="8" t="n">
        <v>4473.25</v>
      </c>
      <c r="G143" s="8">
        <f>F143-D143</f>
        <v/>
      </c>
      <c r="H143" s="7" t="inlineStr"/>
      <c r="I143" s="10" t="inlineStr">
        <is>
          <t>At plan - no January finding moves this line</t>
        </is>
      </c>
      <c r="J143" s="7" t="inlineStr">
        <is>
          <t>Y</t>
        </is>
      </c>
    </row>
    <row r="144">
      <c r="A144" s="7" t="inlineStr">
        <is>
          <t>2026-03</t>
        </is>
      </c>
      <c r="B144" s="7" t="inlineStr">
        <is>
          <t>8000</t>
        </is>
      </c>
      <c r="C144" s="7" t="inlineStr">
        <is>
          <t>G&amp;A - salaries and wages</t>
        </is>
      </c>
      <c r="D144" s="8" t="n">
        <v>236059.73</v>
      </c>
      <c r="E144" s="8" t="n"/>
      <c r="F144" s="8" t="n">
        <v>286185.17</v>
      </c>
      <c r="G144" s="8">
        <f>F144-D144</f>
        <v/>
      </c>
      <c r="H144" s="7" t="inlineStr">
        <is>
          <t>Head of People</t>
        </is>
      </c>
      <c r="I144" s="10" t="inlineStr">
        <is>
          <t>-100,251 materializes on the open months. Not an overspend.</t>
        </is>
      </c>
      <c r="J144" s="7" t="inlineStr">
        <is>
          <t>Y</t>
        </is>
      </c>
    </row>
    <row r="145">
      <c r="A145" s="7" t="inlineStr">
        <is>
          <t>2026-03</t>
        </is>
      </c>
      <c r="B145" s="7" t="inlineStr">
        <is>
          <t>8010</t>
        </is>
      </c>
      <c r="C145" s="7" t="inlineStr">
        <is>
          <t>G&amp;A - payroll taxes and benefits</t>
        </is>
      </c>
      <c r="D145" s="8" t="n">
        <v>43612.76</v>
      </c>
      <c r="E145" s="8" t="n"/>
      <c r="F145" s="8" t="n">
        <v>51859</v>
      </c>
      <c r="G145" s="8">
        <f>F145-D145</f>
        <v/>
      </c>
      <c r="H145" s="7" t="inlineStr">
        <is>
          <t>Head of People</t>
        </is>
      </c>
      <c r="I145" s="10" t="inlineStr">
        <is>
          <t>-16,492 materializes on the open months. The same cause as 8000, one account down.</t>
        </is>
      </c>
      <c r="J145" s="7" t="inlineStr">
        <is>
          <t>Y</t>
        </is>
      </c>
    </row>
    <row r="146">
      <c r="A146" s="7" t="inlineStr">
        <is>
          <t>2026-03</t>
        </is>
      </c>
      <c r="B146" s="7" t="inlineStr">
        <is>
          <t>8020</t>
        </is>
      </c>
      <c r="C146" s="7" t="inlineStr">
        <is>
          <t>G&amp;A - stock-based compensation</t>
        </is>
      </c>
      <c r="D146" s="8" t="n">
        <v>72970.87</v>
      </c>
      <c r="E146" s="8" t="n"/>
      <c r="F146" s="8" t="n">
        <v>72970.87</v>
      </c>
      <c r="G146" s="8">
        <f>F146-D146</f>
        <v/>
      </c>
      <c r="H146" s="7" t="inlineStr"/>
      <c r="I146" s="10" t="inlineStr">
        <is>
          <t>At plan - no January finding moves this line</t>
        </is>
      </c>
      <c r="J146" s="7" t="inlineStr">
        <is>
          <t>Y</t>
        </is>
      </c>
    </row>
    <row r="147">
      <c r="A147" s="7" t="inlineStr">
        <is>
          <t>2026-03</t>
        </is>
      </c>
      <c r="B147" s="7" t="inlineStr">
        <is>
          <t>8030</t>
        </is>
      </c>
      <c r="C147" s="7" t="inlineStr">
        <is>
          <t>G&amp;A - legal fees</t>
        </is>
      </c>
      <c r="D147" s="8" t="n">
        <v>45225</v>
      </c>
      <c r="E147" s="8" t="n"/>
      <c r="F147" s="8" t="n">
        <v>48499.5</v>
      </c>
      <c r="G147" s="8">
        <f>F147-D147</f>
        <v/>
      </c>
      <c r="H147" s="7" t="inlineStr">
        <is>
          <t>General Counsel</t>
        </is>
      </c>
      <c r="I147" s="10" t="inlineStr">
        <is>
          <t>-6,549 materializes on the open months. A single commercial contracting invoice, 23 percent above a plan struck as December run rate x 1.2.</t>
        </is>
      </c>
      <c r="J147" s="7" t="inlineStr">
        <is>
          <t>Y</t>
        </is>
      </c>
    </row>
    <row r="148">
      <c r="A148" s="7" t="inlineStr">
        <is>
          <t>2026-03</t>
        </is>
      </c>
      <c r="B148" s="7" t="inlineStr">
        <is>
          <t>8040</t>
        </is>
      </c>
      <c r="C148" s="7" t="inlineStr">
        <is>
          <t>G&amp;A - accounting, audit and tax</t>
        </is>
      </c>
      <c r="D148" s="8" t="n">
        <v>90719.97</v>
      </c>
      <c r="E148" s="8" t="n"/>
      <c r="F148" s="8" t="n">
        <v>99759.47</v>
      </c>
      <c r="G148" s="8">
        <f>F148-D148</f>
        <v/>
      </c>
      <c r="H148" s="7" t="inlineStr">
        <is>
          <t>VP Finance</t>
        </is>
      </c>
      <c r="I148" s="10" t="inlineStr">
        <is>
          <t>-18,079 materializes on the open months. January is not the surprise and should not be reported as one - the fieldwork spike is in the calendar (FY2025 audit fieldwork completes 31 March)....</t>
        </is>
      </c>
      <c r="J148" s="7" t="inlineStr">
        <is>
          <t>Y</t>
        </is>
      </c>
    </row>
    <row r="149">
      <c r="A149" s="7" t="inlineStr">
        <is>
          <t>2026-03</t>
        </is>
      </c>
      <c r="B149" s="7" t="inlineStr">
        <is>
          <t>8050</t>
        </is>
      </c>
      <c r="C149" s="7" t="inlineStr">
        <is>
          <t>G&amp;A - software and tools</t>
        </is>
      </c>
      <c r="D149" s="8" t="n">
        <v>32999.84</v>
      </c>
      <c r="E149" s="8" t="n"/>
      <c r="F149" s="8" t="n">
        <v>32999.84</v>
      </c>
      <c r="G149" s="8">
        <f>F149-D149</f>
        <v/>
      </c>
      <c r="H149" s="7" t="inlineStr">
        <is>
          <t>IT Manager</t>
        </is>
      </c>
      <c r="I149" s="10" t="inlineStr">
        <is>
          <t>At plan - no January finding moves this line</t>
        </is>
      </c>
      <c r="J149" s="7" t="inlineStr">
        <is>
          <t>Y</t>
        </is>
      </c>
    </row>
    <row r="150">
      <c r="A150" s="7" t="inlineStr">
        <is>
          <t>2026-03</t>
        </is>
      </c>
      <c r="B150" s="7" t="inlineStr">
        <is>
          <t>8060</t>
        </is>
      </c>
      <c r="C150" s="7" t="inlineStr">
        <is>
          <t>G&amp;A - insurance</t>
        </is>
      </c>
      <c r="D150" s="8" t="n">
        <v>15666.67</v>
      </c>
      <c r="E150" s="8" t="n"/>
      <c r="F150" s="8" t="n">
        <v>15666.67</v>
      </c>
      <c r="G150" s="8">
        <f>F150-D150</f>
        <v/>
      </c>
      <c r="H150" s="7" t="inlineStr"/>
      <c r="I150" s="10" t="inlineStr">
        <is>
          <t>At plan - no January finding moves this line</t>
        </is>
      </c>
      <c r="J150" s="7" t="inlineStr">
        <is>
          <t>Y</t>
        </is>
      </c>
    </row>
    <row r="151">
      <c r="A151" s="7" t="inlineStr">
        <is>
          <t>2026-03</t>
        </is>
      </c>
      <c r="B151" s="7" t="inlineStr">
        <is>
          <t>8070</t>
        </is>
      </c>
      <c r="C151" s="7" t="inlineStr">
        <is>
          <t>G&amp;A - rent and facilities</t>
        </is>
      </c>
      <c r="D151" s="8" t="n">
        <v>48228.22</v>
      </c>
      <c r="E151" s="8" t="n"/>
      <c r="F151" s="8" t="n">
        <v>48228.22</v>
      </c>
      <c r="G151" s="8">
        <f>F151-D151</f>
        <v/>
      </c>
      <c r="H151" s="7" t="inlineStr"/>
      <c r="I151" s="10" t="inlineStr">
        <is>
          <t>At plan - no January finding moves this line</t>
        </is>
      </c>
      <c r="J151" s="7" t="inlineStr">
        <is>
          <t>Y</t>
        </is>
      </c>
    </row>
    <row r="152">
      <c r="A152" s="7" t="inlineStr">
        <is>
          <t>2026-03</t>
        </is>
      </c>
      <c r="B152" s="7" t="inlineStr">
        <is>
          <t>8080</t>
        </is>
      </c>
      <c r="C152" s="7" t="inlineStr">
        <is>
          <t>G&amp;A - depreciation</t>
        </is>
      </c>
      <c r="D152" s="8" t="n">
        <v>18720</v>
      </c>
      <c r="E152" s="8" t="n"/>
      <c r="F152" s="8" t="n">
        <v>18720</v>
      </c>
      <c r="G152" s="8">
        <f>F152-D152</f>
        <v/>
      </c>
      <c r="H152" s="7" t="inlineStr"/>
      <c r="I152" s="10" t="inlineStr">
        <is>
          <t>At plan - no January finding moves this line</t>
        </is>
      </c>
      <c r="J152" s="7" t="inlineStr">
        <is>
          <t>Y</t>
        </is>
      </c>
    </row>
    <row r="153">
      <c r="A153" s="7" t="inlineStr">
        <is>
          <t>2026-03</t>
        </is>
      </c>
      <c r="B153" s="7" t="inlineStr">
        <is>
          <t>8090</t>
        </is>
      </c>
      <c r="C153" s="7" t="inlineStr">
        <is>
          <t>G&amp;A - credit loss expense</t>
        </is>
      </c>
      <c r="D153" s="8" t="n">
        <v>6660</v>
      </c>
      <c r="E153" s="8" t="n"/>
      <c r="F153" s="8" t="n">
        <v>4110</v>
      </c>
      <c r="G153" s="8">
        <f>F153-D153</f>
        <v/>
      </c>
      <c r="H153" s="7" t="inlineStr">
        <is>
          <t>VP Finance</t>
        </is>
      </c>
      <c r="I153" s="10" t="inlineStr">
        <is>
          <t>+5,100 materializes on the open months. The provision is the CECL aging matrix applied to the actual receivables book; the plan applied the same matrix to a planned book.</t>
        </is>
      </c>
      <c r="J153" s="7" t="inlineStr">
        <is>
          <t>Y</t>
        </is>
      </c>
    </row>
    <row r="154">
      <c r="A154" s="7" t="inlineStr">
        <is>
          <t>2026-03</t>
        </is>
      </c>
      <c r="B154" s="7" t="inlineStr">
        <is>
          <t>8100</t>
        </is>
      </c>
      <c r="C154" s="7" t="inlineStr">
        <is>
          <t>G&amp;A - taxes, licenses and fees</t>
        </is>
      </c>
      <c r="D154" s="8" t="n">
        <v>3128</v>
      </c>
      <c r="E154" s="8" t="n"/>
      <c r="F154" s="8" t="n">
        <v>3128</v>
      </c>
      <c r="G154" s="8">
        <f>F154-D154</f>
        <v/>
      </c>
      <c r="H154" s="7" t="inlineStr">
        <is>
          <t>VP Finance</t>
        </is>
      </c>
      <c r="I154" s="10" t="inlineStr">
        <is>
          <t>At plan - no January finding moves this line</t>
        </is>
      </c>
      <c r="J154" s="7" t="inlineStr">
        <is>
          <t>Y</t>
        </is>
      </c>
    </row>
    <row r="155">
      <c r="A155" s="7" t="inlineStr">
        <is>
          <t>2026-03</t>
        </is>
      </c>
      <c r="B155" s="7" t="inlineStr">
        <is>
          <t>8110</t>
        </is>
      </c>
      <c r="C155" s="7" t="inlineStr">
        <is>
          <t>G&amp;A - recruiting</t>
        </is>
      </c>
      <c r="D155" s="8" t="n">
        <v>16000</v>
      </c>
      <c r="E155" s="8" t="n"/>
      <c r="F155" s="8" t="n">
        <v>27553</v>
      </c>
      <c r="G155" s="8">
        <f>F155-D155</f>
        <v/>
      </c>
      <c r="H155" s="7" t="inlineStr">
        <is>
          <t>Head of People</t>
        </is>
      </c>
      <c r="I155" s="10" t="inlineStr">
        <is>
          <t>-23,106 materializes on the open months. The plan is the problem, not the month.</t>
        </is>
      </c>
      <c r="J155" s="7" t="inlineStr">
        <is>
          <t>Y</t>
        </is>
      </c>
    </row>
    <row r="156">
      <c r="A156" s="7" t="inlineStr">
        <is>
          <t>2026-03</t>
        </is>
      </c>
      <c r="B156" s="7" t="inlineStr">
        <is>
          <t>8120</t>
        </is>
      </c>
      <c r="C156" s="7" t="inlineStr">
        <is>
          <t>G&amp;A - travel</t>
        </is>
      </c>
      <c r="D156" s="8" t="n">
        <v>7615.45</v>
      </c>
      <c r="E156" s="8" t="n"/>
      <c r="F156" s="8" t="n">
        <v>7615.45</v>
      </c>
      <c r="G156" s="8">
        <f>F156-D156</f>
        <v/>
      </c>
      <c r="H156" s="7" t="inlineStr"/>
      <c r="I156" s="10" t="inlineStr">
        <is>
          <t>At plan - no January finding moves this line</t>
        </is>
      </c>
      <c r="J156" s="7" t="inlineStr">
        <is>
          <t>Y</t>
        </is>
      </c>
    </row>
    <row r="157">
      <c r="A157" s="7" t="inlineStr">
        <is>
          <t>2026-03</t>
        </is>
      </c>
      <c r="B157" s="7" t="inlineStr">
        <is>
          <t>8130</t>
        </is>
      </c>
      <c r="C157" s="7" t="inlineStr">
        <is>
          <t>G&amp;A - other</t>
        </is>
      </c>
      <c r="D157" s="8" t="n">
        <v>3440.96</v>
      </c>
      <c r="E157" s="8" t="n"/>
      <c r="F157" s="8" t="n">
        <v>3440.96</v>
      </c>
      <c r="G157" s="8">
        <f>F157-D157</f>
        <v/>
      </c>
      <c r="H157" s="7" t="inlineStr"/>
      <c r="I157" s="10" t="inlineStr">
        <is>
          <t>At plan - no January finding moves this line</t>
        </is>
      </c>
      <c r="J157" s="7" t="inlineStr">
        <is>
          <t>Y</t>
        </is>
      </c>
    </row>
    <row r="158">
      <c r="A158" s="7" t="inlineStr">
        <is>
          <t>2026-03</t>
        </is>
      </c>
      <c r="B158" s="7" t="inlineStr">
        <is>
          <t>8140</t>
        </is>
      </c>
      <c r="C158" s="7" t="inlineStr">
        <is>
          <t>G&amp;A - bank and merchant fees</t>
        </is>
      </c>
      <c r="D158" s="8" t="n">
        <v>3773.76</v>
      </c>
      <c r="E158" s="8" t="n"/>
      <c r="F158" s="8" t="n">
        <v>3773.76</v>
      </c>
      <c r="G158" s="8">
        <f>F158-D158</f>
        <v/>
      </c>
      <c r="H158" s="7" t="inlineStr"/>
      <c r="I158" s="10" t="inlineStr">
        <is>
          <t>At plan - no January finding moves this line</t>
        </is>
      </c>
      <c r="J158" s="7" t="inlineStr">
        <is>
          <t>Y</t>
        </is>
      </c>
    </row>
    <row r="159">
      <c r="A159" s="7" t="inlineStr">
        <is>
          <t>2026-03</t>
        </is>
      </c>
      <c r="B159" s="7" t="inlineStr">
        <is>
          <t>9000</t>
        </is>
      </c>
      <c r="C159" s="7" t="inlineStr">
        <is>
          <t>Interest income</t>
        </is>
      </c>
      <c r="D159" s="8" t="n">
        <v>-78408.22</v>
      </c>
      <c r="E159" s="8" t="n"/>
      <c r="F159" s="8" t="n">
        <v>-78408.22</v>
      </c>
      <c r="G159" s="8">
        <f>F159-D159</f>
        <v/>
      </c>
      <c r="H159" s="7" t="inlineStr"/>
      <c r="I159" s="10" t="inlineStr">
        <is>
          <t>At plan - no January finding moves this line</t>
        </is>
      </c>
      <c r="J159" s="7" t="inlineStr">
        <is>
          <t>Y</t>
        </is>
      </c>
    </row>
    <row r="160">
      <c r="A160" s="7" t="inlineStr">
        <is>
          <t>2026-03</t>
        </is>
      </c>
      <c r="B160" s="7" t="inlineStr">
        <is>
          <t>9030</t>
        </is>
      </c>
      <c r="C160" s="7" t="inlineStr">
        <is>
          <t>Income tax expense</t>
        </is>
      </c>
      <c r="D160" s="8" t="n">
        <v>4000</v>
      </c>
      <c r="E160" s="8" t="n"/>
      <c r="F160" s="8" t="n">
        <v>4000</v>
      </c>
      <c r="G160" s="8">
        <f>F160-D160</f>
        <v/>
      </c>
      <c r="H160" s="7" t="inlineStr"/>
      <c r="I160" s="10" t="inlineStr">
        <is>
          <t>At plan - no January finding moves this line</t>
        </is>
      </c>
      <c r="J160" s="7" t="inlineStr">
        <is>
          <t>Y</t>
        </is>
      </c>
    </row>
  </sheetData>
  <autoFilter ref="A4:J1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2026-09-04T03:17:21Z</dcterms:created>
  <dcterms:modified xmlns:dcterms="http://purl.org/dc/terms/" xmlns:xsi="http://www.w3.org/2001/XMLSchema-instance" xsi:type="dcterms:W3CDTF">2026-09-04T03:17:21Z</dcterms:modified>
</cp:coreProperties>
</file>