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by FSLI" sheetId="1" state="visible" r:id="rId1"/>
    <sheet xmlns:r="http://schemas.openxmlformats.org/officeDocument/2006/relationships" name="Revenue and ARR" sheetId="2" state="visible" r:id="rId2"/>
    <sheet xmlns:r="http://schemas.openxmlformats.org/officeDocument/2006/relationships" name="Gross margin" sheetId="3" state="visible" r:id="rId3"/>
    <sheet xmlns:r="http://schemas.openxmlformats.org/officeDocument/2006/relationships" name="Opex by owner" sheetId="4" state="visible" r:id="rId4"/>
    <sheet xmlns:r="http://schemas.openxmlformats.org/officeDocument/2006/relationships" name="Balance sheet" sheetId="5" state="visible" r:id="rId5"/>
    <sheet xmlns:r="http://schemas.openxmlformats.org/officeDocument/2006/relationships" name="Cash" sheetId="6" state="visible" r:id="rId6"/>
    <sheet xmlns:r="http://schemas.openxmlformats.org/officeDocument/2006/relationships" name="SaaS metrics" sheetId="7" state="visible" r:id="rId7"/>
    <sheet xmlns:r="http://schemas.openxmlformats.org/officeDocument/2006/relationships" name="LBE Q1 M1" sheetId="8" state="visible" r:id="rId8"/>
    <sheet xmlns:r="http://schemas.openxmlformats.org/officeDocument/2006/relationships" name="Exceptions" sheetId="9" state="visible" r:id="rId9"/>
  </sheets>
  <definedNames/>
  <calcPr calcId="124519" fullCalcOnLoad="1"/>
</workbook>
</file>

<file path=xl/styles.xml><?xml version="1.0" encoding="utf-8"?>
<styleSheet xmlns="http://schemas.openxmlformats.org/spreadsheetml/2006/main">
  <numFmts count="5">
    <numFmt numFmtId="164" formatCode="#,##0;(#,##0);&quot;-&quot;"/>
    <numFmt numFmtId="165" formatCode="0.0%;(0.0%);&quot;-&quot;"/>
    <numFmt numFmtId="166" formatCode="+0.0&quot; pts&quot;;-0.0&quot; pts&quot;;&quot;-&quot;"/>
    <numFmt numFmtId="167" formatCode="0.00000"/>
    <numFmt numFmtId="168" formatCode="0.0"/>
  </numFmts>
  <fonts count="10">
    <font>
      <name val="Calibri"/>
      <family val="2"/>
      <color theme="1"/>
      <sz val="11"/>
      <scheme val="minor"/>
    </font>
    <font>
      <b val="1"/>
      <color rgb="001F3864"/>
      <sz val="15"/>
    </font>
    <font>
      <i val="1"/>
      <color rgb="00595959"/>
      <sz val="10"/>
    </font>
    <font>
      <i val="1"/>
      <color rgb="00808080"/>
      <sz val="9"/>
    </font>
    <font>
      <b val="1"/>
      <color rgb="00FFFFFF"/>
      <sz val="10"/>
    </font>
    <font>
      <sz val="10"/>
    </font>
    <font>
      <b val="1"/>
      <sz val="10"/>
    </font>
    <font>
      <i val="1"/>
      <color rgb="00595959"/>
      <sz val="9"/>
    </font>
    <font>
      <color rgb="00595959"/>
      <sz val="9"/>
    </font>
    <font>
      <b val="1"/>
      <color rgb="001F3864"/>
      <sz val="11"/>
    </font>
  </fonts>
  <fills count="6">
    <fill>
      <patternFill/>
    </fill>
    <fill>
      <patternFill patternType="gray125"/>
    </fill>
    <fill>
      <patternFill patternType="solid">
        <fgColor rgb="001F3864"/>
      </patternFill>
    </fill>
    <fill>
      <patternFill patternType="solid">
        <fgColor rgb="00F2F2F2"/>
      </patternFill>
    </fill>
    <fill>
      <patternFill patternType="solid">
        <fgColor rgb="00B4C6E7"/>
      </patternFill>
    </fill>
    <fill>
      <patternFill patternType="solid">
        <fgColor rgb="00D9E2F3"/>
      </patternFill>
    </fill>
  </fills>
  <borders count="2">
    <border>
      <left/>
      <right/>
      <top/>
      <bottom/>
      <diagonal/>
    </border>
    <border>
      <top style="thin">
        <color rgb="001F3864"/>
      </top>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4" fillId="2" borderId="0" applyAlignment="1" pivotButton="0" quotePrefix="0" xfId="0">
      <alignment horizontal="center" vertical="center" wrapText="1"/>
    </xf>
    <xf numFmtId="0" fontId="6" fillId="0" borderId="0" pivotButton="0" quotePrefix="0" xfId="0"/>
    <xf numFmtId="164" fontId="6" fillId="0" borderId="0" pivotButton="0" quotePrefix="0" xfId="0"/>
    <xf numFmtId="165" fontId="6" fillId="0" borderId="0" pivotButton="0" quotePrefix="0" xfId="0"/>
    <xf numFmtId="0" fontId="5" fillId="0" borderId="0" pivotButton="0" quotePrefix="0" xfId="0"/>
    <xf numFmtId="164" fontId="5" fillId="0" borderId="0" pivotButton="0" quotePrefix="0" xfId="0"/>
    <xf numFmtId="165" fontId="5" fillId="0" borderId="0" pivotButton="0" quotePrefix="0" xfId="0"/>
    <xf numFmtId="0" fontId="0" fillId="0" borderId="1" pivotButton="0" quotePrefix="0" xfId="0"/>
    <xf numFmtId="0" fontId="6" fillId="4" borderId="1" pivotButton="0" quotePrefix="0" xfId="0"/>
    <xf numFmtId="164" fontId="6" fillId="4" borderId="1" pivotButton="0" quotePrefix="0" xfId="0"/>
    <xf numFmtId="165" fontId="6" fillId="4" borderId="1" pivotButton="0" quotePrefix="0" xfId="0"/>
    <xf numFmtId="0" fontId="7" fillId="0" borderId="0" pivotButton="0" quotePrefix="0" xfId="0"/>
    <xf numFmtId="165" fontId="7" fillId="0" borderId="0" pivotButton="0" quotePrefix="0" xfId="0"/>
    <xf numFmtId="166" fontId="7" fillId="0" borderId="0" pivotButton="0" quotePrefix="0" xfId="0"/>
    <xf numFmtId="0" fontId="6" fillId="5" borderId="0" pivotButton="0" quotePrefix="0" xfId="0"/>
    <xf numFmtId="0" fontId="6" fillId="0" borderId="1" pivotButton="0" quotePrefix="0" xfId="0"/>
    <xf numFmtId="164" fontId="6" fillId="0" borderId="1" pivotButton="0" quotePrefix="0" xfId="0"/>
    <xf numFmtId="165" fontId="6" fillId="0" borderId="1" pivotButton="0" quotePrefix="0" xfId="0"/>
    <xf numFmtId="0" fontId="6" fillId="4" borderId="0" pivotButton="0" quotePrefix="0" xfId="0"/>
    <xf numFmtId="164" fontId="6" fillId="4" borderId="0" pivotButton="0" quotePrefix="0" xfId="0"/>
    <xf numFmtId="165" fontId="6" fillId="4" borderId="0" pivotButton="0" quotePrefix="0" xfId="0"/>
    <xf numFmtId="0" fontId="5" fillId="0" borderId="0" applyAlignment="1" pivotButton="0" quotePrefix="0" xfId="0">
      <alignment vertical="top" wrapText="1"/>
    </xf>
    <xf numFmtId="0" fontId="6" fillId="4" borderId="1" applyAlignment="1" pivotButton="0" quotePrefix="0" xfId="0">
      <alignment vertical="top" wrapText="1"/>
    </xf>
    <xf numFmtId="0" fontId="6" fillId="0" borderId="0" applyAlignment="1" pivotButton="0" quotePrefix="0" xfId="0">
      <alignment vertical="top" wrapText="1"/>
    </xf>
    <xf numFmtId="167" fontId="5" fillId="0" borderId="0" pivotButton="0" quotePrefix="0" xfId="0"/>
    <xf numFmtId="167" fontId="6" fillId="4" borderId="1" pivotButton="0" quotePrefix="0" xfId="0"/>
    <xf numFmtId="168" fontId="5" fillId="0" borderId="0" pivotButton="0" quotePrefix="0" xfId="0"/>
    <xf numFmtId="2" fontId="5" fillId="0" borderId="0" pivotButton="0" quotePrefix="0" xfId="0"/>
    <xf numFmtId="168" fontId="6" fillId="4" borderId="0" pivotButton="0" quotePrefix="0" xfId="0"/>
    <xf numFmtId="0" fontId="6" fillId="4" borderId="0" applyAlignment="1" pivotButton="0" quotePrefix="0" xfId="0">
      <alignment vertical="top" wrapText="1"/>
    </xf>
    <xf numFmtId="0" fontId="8" fillId="0" borderId="0" pivotButton="0" quotePrefix="0" xfId="0"/>
    <xf numFmtId="0" fontId="8" fillId="0" borderId="0" applyAlignment="1" pivotButton="0" quotePrefix="0" xfId="0">
      <alignment vertical="top" wrapText="1"/>
    </xf>
    <xf numFmtId="0" fontId="0" fillId="4" borderId="0" pivotButton="0" quotePrefix="0" xfId="0"/>
    <xf numFmtId="0" fontId="0" fillId="5" borderId="0" pivotButton="0" quotePrefix="0" xfId="0"/>
    <xf numFmtId="0" fontId="4" fillId="2"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showGridLines="0" workbookViewId="0">
      <selection activeCell="A1" sqref="A1"/>
    </sheetView>
  </sheetViews>
  <sheetFormatPr baseColWidth="8" defaultRowHeight="15"/>
  <cols>
    <col width="11" customWidth="1" min="1" max="1"/>
    <col width="42" customWidth="1" min="2" max="2"/>
    <col width="16" customWidth="1" min="3" max="3"/>
    <col width="16" customWidth="1" min="4" max="4"/>
    <col width="14" customWidth="1" min="5" max="5"/>
    <col width="11" customWidth="1" min="6" max="6"/>
    <col width="16" customWidth="1" min="7" max="7"/>
    <col width="3" customWidth="1" min="8" max="8"/>
    <col width="58" customWidth="1" min="9" max="9"/>
  </cols>
  <sheetData>
    <row r="1">
      <c r="A1" s="1" t="inlineStr">
        <is>
          <t>Profit and loss by financial statement line - January 2026</t>
        </is>
      </c>
    </row>
    <row r="2">
      <c r="A2" s="2" t="inlineStr">
        <is>
          <t>January closed and signed on business day 6 with ten adjustments posted. Benchmark is FY26 Plan v3 (board approved), locked 2025-12-11.</t>
        </is>
      </c>
    </row>
    <row r="3">
      <c r="A3" s="3" t="inlineStr">
        <is>
          <t>Variance is favorable-positive. Margins are ROWS under the line they belong to, with the move in points. Nothing on this page is typed: every figure references the tab that owns it.</t>
        </is>
      </c>
    </row>
    <row r="5" ht="24" customHeight="1">
      <c r="A5" s="4" t="inlineStr"/>
      <c r="B5" s="5" t="inlineStr">
        <is>
          <t>Line</t>
        </is>
      </c>
      <c r="C5" s="5" t="inlineStr">
        <is>
          <t>Actual</t>
        </is>
      </c>
      <c r="D5" s="5" t="inlineStr">
        <is>
          <t>Plan</t>
        </is>
      </c>
      <c r="E5" s="5" t="inlineStr">
        <is>
          <t>Variance</t>
        </is>
      </c>
      <c r="F5" s="5" t="inlineStr">
        <is>
          <t>Var %</t>
        </is>
      </c>
      <c r="G5" s="5" t="inlineStr">
        <is>
          <t>Prior month</t>
        </is>
      </c>
      <c r="H5" s="4" t="inlineStr"/>
      <c r="I5" s="5" t="inlineStr">
        <is>
          <t>Owned by</t>
        </is>
      </c>
    </row>
    <row r="6">
      <c r="B6" s="6" t="inlineStr">
        <is>
          <t>Revenue</t>
        </is>
      </c>
      <c r="C6" s="7">
        <f>'Revenue and ARR'!C11</f>
        <v/>
      </c>
      <c r="D6" s="7">
        <f>'Revenue and ARR'!D11</f>
        <v/>
      </c>
      <c r="E6" s="7">
        <f>C6-D6</f>
        <v/>
      </c>
      <c r="F6" s="8">
        <f>IF(D6=0,"",E6/ABS(D6))</f>
        <v/>
      </c>
      <c r="G6" s="7">
        <f>'Revenue and ARR'!G11</f>
        <v/>
      </c>
      <c r="I6" s="6" t="inlineStr">
        <is>
          <t>Revenue and ARR</t>
        </is>
      </c>
    </row>
    <row r="7">
      <c r="B7" s="9" t="inlineStr">
        <is>
          <t>Cost of revenue</t>
        </is>
      </c>
      <c r="C7" s="10">
        <f>'Gross margin'!C16</f>
        <v/>
      </c>
      <c r="D7" s="10">
        <f>'Gross margin'!D16</f>
        <v/>
      </c>
      <c r="E7" s="10">
        <f>D7-C7</f>
        <v/>
      </c>
      <c r="F7" s="11">
        <f>IF(D7=0,"",E7/ABS(D7))</f>
        <v/>
      </c>
      <c r="G7" s="10">
        <f>'Gross margin'!G16</f>
        <v/>
      </c>
      <c r="I7" s="9" t="inlineStr">
        <is>
          <t>Gross margin</t>
        </is>
      </c>
    </row>
    <row r="8">
      <c r="A8" s="12" t="n"/>
      <c r="B8" s="13" t="inlineStr">
        <is>
          <t>Gross profit</t>
        </is>
      </c>
      <c r="C8" s="14">
        <f>'Gross margin'!C19</f>
        <v/>
      </c>
      <c r="D8" s="14">
        <f>'Gross margin'!D19</f>
        <v/>
      </c>
      <c r="E8" s="14">
        <f>C8-D8</f>
        <v/>
      </c>
      <c r="F8" s="15">
        <f>IF(D8=0,"",E8/ABS(D8))</f>
        <v/>
      </c>
      <c r="G8" s="14">
        <f>'Gross margin'!G19</f>
        <v/>
      </c>
      <c r="H8" s="12" t="n"/>
      <c r="I8" s="13" t="inlineStr">
        <is>
          <t>Gross margin</t>
        </is>
      </c>
    </row>
    <row r="9">
      <c r="B9" s="16" t="inlineStr">
        <is>
          <t xml:space="preserve">   Gross margin %</t>
        </is>
      </c>
      <c r="C9" s="17">
        <f>IF(C6=0,"",C8/C6)</f>
        <v/>
      </c>
      <c r="D9" s="17">
        <f>IF(D6=0,"",D8/D6)</f>
        <v/>
      </c>
      <c r="E9" s="18">
        <f>IF(OR(C6=0,D6=0),"",(C8/C6-D8/D6)*100)</f>
        <v/>
      </c>
      <c r="G9" s="17">
        <f>IF(G6=0,"",G8/G6)</f>
        <v/>
      </c>
    </row>
    <row r="11">
      <c r="A11" s="19" t="inlineStr">
        <is>
          <t>OPERATING EXPENSE</t>
        </is>
      </c>
      <c r="B11" s="19" t="n"/>
      <c r="C11" s="19" t="n"/>
      <c r="D11" s="19" t="n"/>
      <c r="E11" s="19" t="n"/>
      <c r="F11" s="19" t="n"/>
      <c r="G11" s="19" t="n"/>
      <c r="H11" s="19" t="n"/>
      <c r="I11" s="19" t="n"/>
    </row>
    <row r="12">
      <c r="B12" s="9" t="inlineStr">
        <is>
          <t>Research and development</t>
        </is>
      </c>
      <c r="C12" s="10">
        <f>'Opex by owner'!E30</f>
        <v/>
      </c>
      <c r="D12" s="10">
        <f>'Opex by owner'!F30</f>
        <v/>
      </c>
      <c r="E12" s="10">
        <f>D12-C12</f>
        <v/>
      </c>
      <c r="F12" s="11">
        <f>IF(D12=0,"",E12/ABS(D12))</f>
        <v/>
      </c>
      <c r="G12" s="10" t="n">
        <v>795164.33</v>
      </c>
      <c r="I12" s="9" t="inlineStr">
        <is>
          <t>Opex by owner</t>
        </is>
      </c>
    </row>
    <row r="13">
      <c r="B13" s="16" t="inlineStr">
        <is>
          <t xml:space="preserve">   Research and development, % of revenue</t>
        </is>
      </c>
      <c r="C13" s="17">
        <f>IF(C6=0,"",C12/C6)</f>
        <v/>
      </c>
      <c r="D13" s="17">
        <f>IF(D6=0,"",D12/D6)</f>
        <v/>
      </c>
      <c r="E13" s="18">
        <f>IF(OR(C6=0,D6=0),"",(C12/C6-D12/D6)*100)</f>
        <v/>
      </c>
      <c r="G13" s="17">
        <f>IF(G6=0,"",G12/G6)</f>
        <v/>
      </c>
    </row>
    <row r="14">
      <c r="B14" s="9" t="inlineStr">
        <is>
          <t>Sales and marketing</t>
        </is>
      </c>
      <c r="C14" s="10">
        <f>'Opex by owner'!E31</f>
        <v/>
      </c>
      <c r="D14" s="10">
        <f>'Opex by owner'!F31</f>
        <v/>
      </c>
      <c r="E14" s="10">
        <f>D14-C14</f>
        <v/>
      </c>
      <c r="F14" s="11">
        <f>IF(D14=0,"",E14/ABS(D14))</f>
        <v/>
      </c>
      <c r="G14" s="10" t="n">
        <v>753039.98</v>
      </c>
      <c r="I14" s="9" t="inlineStr">
        <is>
          <t>Opex by owner</t>
        </is>
      </c>
    </row>
    <row r="15">
      <c r="B15" s="16" t="inlineStr">
        <is>
          <t xml:space="preserve">   Sales and marketing, % of revenue</t>
        </is>
      </c>
      <c r="C15" s="17">
        <f>IF(C6=0,"",C14/C6)</f>
        <v/>
      </c>
      <c r="D15" s="17">
        <f>IF(D6=0,"",D14/D6)</f>
        <v/>
      </c>
      <c r="E15" s="18">
        <f>IF(OR(C6=0,D6=0),"",(C14/C6-D14/D6)*100)</f>
        <v/>
      </c>
      <c r="G15" s="17">
        <f>IF(G6=0,"",G14/G6)</f>
        <v/>
      </c>
    </row>
    <row r="16">
      <c r="B16" s="9" t="inlineStr">
        <is>
          <t>General and administrative</t>
        </is>
      </c>
      <c r="C16" s="10">
        <f>'Opex by owner'!E32</f>
        <v/>
      </c>
      <c r="D16" s="10">
        <f>'Opex by owner'!F32</f>
        <v/>
      </c>
      <c r="E16" s="10">
        <f>D16-C16</f>
        <v/>
      </c>
      <c r="F16" s="11">
        <f>IF(D16=0,"",E16/ABS(D16))</f>
        <v/>
      </c>
      <c r="G16" s="10" t="n">
        <v>585488.9300000001</v>
      </c>
      <c r="I16" s="9" t="inlineStr">
        <is>
          <t>Opex by owner</t>
        </is>
      </c>
    </row>
    <row r="17">
      <c r="B17" s="16" t="inlineStr">
        <is>
          <t xml:space="preserve">   General and administrative, % of revenue</t>
        </is>
      </c>
      <c r="C17" s="17">
        <f>IF(C6=0,"",C16/C6)</f>
        <v/>
      </c>
      <c r="D17" s="17">
        <f>IF(D6=0,"",D16/D6)</f>
        <v/>
      </c>
      <c r="E17" s="18">
        <f>IF(OR(C6=0,D6=0),"",(C16/C6-D16/D6)*100)</f>
        <v/>
      </c>
      <c r="G17" s="17">
        <f>IF(G6=0,"",G16/G6)</f>
        <v/>
      </c>
    </row>
    <row r="18">
      <c r="A18" s="12" t="n"/>
      <c r="B18" s="20" t="inlineStr">
        <is>
          <t>Total operating expense</t>
        </is>
      </c>
      <c r="C18" s="21">
        <f>C12+C14+C16</f>
        <v/>
      </c>
      <c r="D18" s="21">
        <f>D12+D14+D16</f>
        <v/>
      </c>
      <c r="E18" s="21">
        <f>D18-C18</f>
        <v/>
      </c>
      <c r="F18" s="22">
        <f>IF(D18=0,"",E18/ABS(D18))</f>
        <v/>
      </c>
      <c r="G18" s="21">
        <f>G12+G14+G16</f>
        <v/>
      </c>
      <c r="H18" s="12" t="n"/>
      <c r="I18" s="12" t="n"/>
    </row>
    <row r="19">
      <c r="B19" s="16" t="inlineStr">
        <is>
          <t xml:space="preserve">   Total operating expense, % of revenue</t>
        </is>
      </c>
      <c r="C19" s="17">
        <f>IF(C6=0,"",C18/C6)</f>
        <v/>
      </c>
      <c r="D19" s="17">
        <f>IF(D6=0,"",D18/D6)</f>
        <v/>
      </c>
      <c r="E19" s="18">
        <f>IF(OR(C6=0,D6=0),"",(C18/C6-D18/D6)*100)</f>
        <v/>
      </c>
      <c r="G19" s="17">
        <f>IF(G6=0,"",G18/G6)</f>
        <v/>
      </c>
    </row>
    <row r="20">
      <c r="B20" s="23" t="inlineStr">
        <is>
          <t>OPERATING RESULT</t>
        </is>
      </c>
      <c r="C20" s="24">
        <f>C8-C18</f>
        <v/>
      </c>
      <c r="D20" s="24">
        <f>D8-D18</f>
        <v/>
      </c>
      <c r="E20" s="24">
        <f>C20-D20</f>
        <v/>
      </c>
      <c r="F20" s="25">
        <f>IF(D20=0,"",E20/ABS(D20))</f>
        <v/>
      </c>
      <c r="G20" s="24">
        <f>G8-G18</f>
        <v/>
      </c>
    </row>
    <row r="22">
      <c r="A22" s="19" t="inlineStr">
        <is>
          <t>OTHER INCOME (EXPENSE) AND TAX</t>
        </is>
      </c>
      <c r="B22" s="19" t="n"/>
      <c r="C22" s="19" t="n"/>
      <c r="D22" s="19" t="n"/>
      <c r="E22" s="19" t="n"/>
      <c r="F22" s="19" t="n"/>
      <c r="G22" s="19" t="n"/>
      <c r="H22" s="19" t="n"/>
      <c r="I22" s="19" t="n"/>
    </row>
    <row r="23">
      <c r="A23" s="9" t="inlineStr">
        <is>
          <t>9000</t>
        </is>
      </c>
      <c r="B23" s="9" t="inlineStr">
        <is>
          <t>Interest income</t>
        </is>
      </c>
      <c r="C23" s="10" t="n">
        <v>84180.67</v>
      </c>
      <c r="D23" s="10" t="n">
        <v>70000</v>
      </c>
      <c r="E23" s="10">
        <f>C23-D23</f>
        <v/>
      </c>
      <c r="F23" s="11">
        <f>IF(D23=0,"",E23/ABS(D23))</f>
        <v/>
      </c>
      <c r="G23" s="10" t="n">
        <v>87079.00999999999</v>
      </c>
      <c r="I23" s="26" t="inlineStr">
        <is>
          <t>Income positive, expense negative - the effect on the net result</t>
        </is>
      </c>
    </row>
    <row r="24">
      <c r="A24" s="9" t="inlineStr">
        <is>
          <t>9020</t>
        </is>
      </c>
      <c r="B24" s="9" t="inlineStr">
        <is>
          <t>Foreign exchange gain / (loss)</t>
        </is>
      </c>
      <c r="C24" s="10" t="n">
        <v>-553.61</v>
      </c>
      <c r="D24" s="10" t="n">
        <v>-0</v>
      </c>
      <c r="E24" s="10">
        <f>C24-D24</f>
        <v/>
      </c>
      <c r="F24" s="11">
        <f>IF(D24=0,"",E24/ABS(D24))</f>
        <v/>
      </c>
      <c r="G24" s="10" t="n">
        <v>-3198.55</v>
      </c>
      <c r="I24" s="26" t="inlineStr">
        <is>
          <t>Income positive, expense negative - the effect on the net result</t>
        </is>
      </c>
    </row>
    <row r="25">
      <c r="A25" s="9" t="inlineStr">
        <is>
          <t>9030</t>
        </is>
      </c>
      <c r="B25" s="9" t="inlineStr">
        <is>
          <t>Income tax expense</t>
        </is>
      </c>
      <c r="C25" s="10" t="n">
        <v>-4000</v>
      </c>
      <c r="D25" s="10" t="n">
        <v>-4000</v>
      </c>
      <c r="E25" s="10">
        <f>C25-D25</f>
        <v/>
      </c>
      <c r="F25" s="11">
        <f>IF(D25=0,"",E25/ABS(D25))</f>
        <v/>
      </c>
      <c r="G25" s="10" t="n">
        <v>-4000</v>
      </c>
      <c r="I25" s="26" t="inlineStr">
        <is>
          <t>Income positive, expense negative - the effect on the net result</t>
        </is>
      </c>
    </row>
    <row r="26">
      <c r="A26" s="12" t="n"/>
      <c r="B26" s="20" t="inlineStr">
        <is>
          <t>Total other income (expense) and tax</t>
        </is>
      </c>
      <c r="C26" s="21">
        <f>C23+C24+C25</f>
        <v/>
      </c>
      <c r="D26" s="21">
        <f>D23+D24+D25</f>
        <v/>
      </c>
      <c r="E26" s="21">
        <f>C26-D26</f>
        <v/>
      </c>
      <c r="F26" s="12" t="n"/>
      <c r="G26" s="21">
        <f>G23+G24+G25</f>
        <v/>
      </c>
      <c r="H26" s="12" t="n"/>
      <c r="I26" s="12" t="n"/>
    </row>
    <row r="27">
      <c r="B27" s="23" t="inlineStr">
        <is>
          <t>NET RESULT</t>
        </is>
      </c>
      <c r="C27" s="24">
        <f>C20+C26</f>
        <v/>
      </c>
      <c r="D27" s="24">
        <f>D20+D26</f>
        <v/>
      </c>
      <c r="E27" s="24">
        <f>C27-D27</f>
        <v/>
      </c>
      <c r="F27" s="25">
        <f>IF(D27=0,"",E27/ABS(D27))</f>
        <v/>
      </c>
      <c r="G27" s="24">
        <f>G20+G26</f>
        <v/>
      </c>
    </row>
    <row r="28">
      <c r="B28" s="16" t="inlineStr">
        <is>
          <t xml:space="preserve">   Net margin %</t>
        </is>
      </c>
      <c r="C28" s="17">
        <f>IF(C6=0,"",C27/C6)</f>
        <v/>
      </c>
      <c r="D28" s="17">
        <f>IF(D6=0,"",D27/D6)</f>
        <v/>
      </c>
      <c r="E28" s="18">
        <f>IF(OR(C6=0,D6=0),"",(C27/C6-D27/D6)*100)</f>
        <v/>
      </c>
      <c r="G28" s="17">
        <f>IF(G6=0,"",G27/G6)</f>
        <v/>
      </c>
    </row>
    <row r="31">
      <c r="A31" s="19" t="inlineStr">
        <is>
          <t>EBITDA BUILD</t>
        </is>
      </c>
      <c r="B31" s="19" t="n"/>
      <c r="C31" s="19" t="n"/>
      <c r="D31" s="19" t="n"/>
      <c r="E31" s="19" t="n"/>
      <c r="F31" s="19" t="n"/>
      <c r="G31" s="19" t="n"/>
      <c r="H31" s="19" t="n"/>
      <c r="I31" s="19" t="n"/>
    </row>
    <row r="32">
      <c r="A32" s="16" t="inlineStr">
        <is>
          <t>EBITDA is earnings before interest, tax, depreciation and amortization. Stock comp is none of those four, so it is added back BELOW the EBITDA line and the result is called what it is. Both measures are on the page: the unadjusted one is what a lender or an acquirer means by the word, and hiding it behind the adjusted number is how an add-back stops being visible.</t>
        </is>
      </c>
    </row>
    <row r="33" ht="24" customHeight="1">
      <c r="A33" s="5" t="inlineStr">
        <is>
          <t>Account</t>
        </is>
      </c>
      <c r="B33" s="5" t="inlineStr">
        <is>
          <t>Line</t>
        </is>
      </c>
      <c r="C33" s="5" t="inlineStr">
        <is>
          <t>Actual</t>
        </is>
      </c>
      <c r="D33" s="5" t="inlineStr">
        <is>
          <t>Plan</t>
        </is>
      </c>
      <c r="E33" s="5" t="inlineStr">
        <is>
          <t>Variance</t>
        </is>
      </c>
      <c r="F33" s="4" t="inlineStr"/>
      <c r="G33" s="5" t="inlineStr">
        <is>
          <t>Prior month</t>
        </is>
      </c>
      <c r="H33" s="4" t="inlineStr"/>
      <c r="I33" s="5" t="inlineStr">
        <is>
          <t>Note</t>
        </is>
      </c>
    </row>
    <row r="34">
      <c r="B34" s="9" t="inlineStr">
        <is>
          <t>Operating result</t>
        </is>
      </c>
      <c r="C34" s="10">
        <f>C20</f>
        <v/>
      </c>
      <c r="D34" s="10">
        <f>D20</f>
        <v/>
      </c>
      <c r="E34" s="10">
        <f>C34-D34</f>
        <v/>
      </c>
      <c r="G34" s="10">
        <f>G20</f>
        <v/>
      </c>
    </row>
    <row r="35">
      <c r="A35" s="9" t="inlineStr">
        <is>
          <t>5070</t>
        </is>
      </c>
      <c r="B35" s="9" t="inlineStr">
        <is>
          <t>Add back COGS - amortization of capitalized software</t>
        </is>
      </c>
      <c r="C35" s="10">
        <f>'Gross margin'!C13</f>
        <v/>
      </c>
      <c r="D35" s="10">
        <f>'Gross margin'!D13</f>
        <v/>
      </c>
      <c r="E35" s="10">
        <f>C35-D35</f>
        <v/>
      </c>
      <c r="G35" s="10" t="n">
        <v>43694.23</v>
      </c>
      <c r="I35" s="26" t="inlineStr">
        <is>
          <t>Gross margin tab owns this line</t>
        </is>
      </c>
    </row>
    <row r="36">
      <c r="A36" s="9" t="inlineStr">
        <is>
          <t>8080</t>
        </is>
      </c>
      <c r="B36" s="9" t="inlineStr">
        <is>
          <t>Add back G&amp;A - depreciation</t>
        </is>
      </c>
      <c r="C36" s="10" t="n">
        <v>18520</v>
      </c>
      <c r="D36" s="10" t="n">
        <v>18200</v>
      </c>
      <c r="E36" s="10">
        <f>C36-D36</f>
        <v/>
      </c>
      <c r="G36" s="10" t="n">
        <v>18280</v>
      </c>
      <c r="I36" s="26" t="inlineStr"/>
    </row>
    <row r="37">
      <c r="A37" s="12" t="n"/>
      <c r="B37" s="13" t="inlineStr">
        <is>
          <t>EBITDA</t>
        </is>
      </c>
      <c r="C37" s="14">
        <f>C34+C35+C36</f>
        <v/>
      </c>
      <c r="D37" s="14">
        <f>D34+D35+D36</f>
        <v/>
      </c>
      <c r="E37" s="14">
        <f>C37-D37</f>
        <v/>
      </c>
      <c r="F37" s="12" t="n"/>
      <c r="G37" s="14">
        <f>G34+G35+G36</f>
        <v/>
      </c>
      <c r="H37" s="12" t="n"/>
      <c r="I37" s="12" t="n"/>
    </row>
    <row r="38">
      <c r="A38" s="9" t="inlineStr">
        <is>
          <t>6020</t>
        </is>
      </c>
      <c r="B38" s="9" t="inlineStr">
        <is>
          <t>Add back R&amp;D - stock-based compensation</t>
        </is>
      </c>
      <c r="C38" s="10" t="n">
        <v>79000</v>
      </c>
      <c r="D38" s="10" t="n">
        <v>84000</v>
      </c>
      <c r="E38" s="10">
        <f>C38-D38</f>
        <v/>
      </c>
      <c r="G38" s="10" t="n">
        <v>63333.33</v>
      </c>
    </row>
    <row r="39">
      <c r="A39" s="9" t="inlineStr">
        <is>
          <t>7020</t>
        </is>
      </c>
      <c r="B39" s="9" t="inlineStr">
        <is>
          <t>Add back S&amp;M - stock-based compensation</t>
        </is>
      </c>
      <c r="C39" s="10" t="n">
        <v>53000</v>
      </c>
      <c r="D39" s="10" t="n">
        <v>56000</v>
      </c>
      <c r="E39" s="10">
        <f>C39-D39</f>
        <v/>
      </c>
      <c r="G39" s="10" t="n">
        <v>42083.33</v>
      </c>
    </row>
    <row r="40">
      <c r="A40" s="9" t="inlineStr">
        <is>
          <t>8020</t>
        </is>
      </c>
      <c r="B40" s="9" t="inlineStr">
        <is>
          <t>Add back G&amp;A - stock-based compensation</t>
        </is>
      </c>
      <c r="C40" s="10" t="n">
        <v>66000</v>
      </c>
      <c r="D40" s="10" t="n">
        <v>70000</v>
      </c>
      <c r="E40" s="10">
        <f>C40-D40</f>
        <v/>
      </c>
      <c r="G40" s="10" t="n">
        <v>52916.67</v>
      </c>
    </row>
    <row r="41">
      <c r="B41" s="23" t="inlineStr">
        <is>
          <t>ADJUSTED EBITDA</t>
        </is>
      </c>
      <c r="C41" s="24">
        <f>C37+C38+C39+C40</f>
        <v/>
      </c>
      <c r="D41" s="24">
        <f>D37+D38+D39+D40</f>
        <v/>
      </c>
      <c r="E41" s="24">
        <f>C41-D41</f>
        <v/>
      </c>
      <c r="G41" s="24">
        <f>G37+G38+G39+G40</f>
        <v/>
      </c>
    </row>
    <row r="42">
      <c r="B42" s="16" t="inlineStr">
        <is>
          <t xml:space="preserve">   Adjusted EBITDA margin %</t>
        </is>
      </c>
      <c r="C42" s="17">
        <f>IF(C6=0,"",C41/C6)</f>
        <v/>
      </c>
      <c r="D42" s="17">
        <f>IF(D6=0,"",D41/D6)</f>
        <v/>
      </c>
      <c r="E42" s="18">
        <f>IF(OR(C6=0,D6=0),"",(C41/C6-D41/D6)*100)</f>
        <v/>
      </c>
      <c r="G42" s="17">
        <f>IF(G6=0,"",G41/G6)</f>
        <v/>
      </c>
    </row>
    <row r="45">
      <c r="A45" s="19" t="inlineStr">
        <is>
          <t>RATIO INPUTS - OWNED BY THIS TAB</t>
        </is>
      </c>
      <c r="B45" s="19" t="n"/>
      <c r="C45" s="19" t="n"/>
      <c r="D45" s="19" t="n"/>
      <c r="E45" s="19" t="n"/>
      <c r="F45" s="19" t="n"/>
      <c r="G45" s="19" t="n"/>
      <c r="H45" s="19" t="n"/>
      <c r="I45" s="19" t="n"/>
    </row>
    <row r="46">
      <c r="A46" s="16" t="inlineStr">
        <is>
          <t>A day-count needs two things a balance sheet does not carry: the month's revenue and the month's cash operating spend. Both are read off this statement, so a ratio and the statement it describes cannot disagree.</t>
        </is>
      </c>
    </row>
    <row r="47">
      <c r="B47" s="9" t="inlineStr">
        <is>
          <t>Revenue, January</t>
        </is>
      </c>
      <c r="C47" s="10">
        <f>C6</f>
        <v/>
      </c>
      <c r="G47" s="10">
        <f>G6</f>
        <v/>
      </c>
      <c r="I47" s="26" t="inlineStr">
        <is>
          <t>P&amp;L, above</t>
        </is>
      </c>
    </row>
    <row r="48">
      <c r="B48" s="9" t="inlineStr">
        <is>
          <t>Cash operating spend, January</t>
        </is>
      </c>
      <c r="C48" s="10">
        <f>C7+C18-C35-C36-C38-C39-C40</f>
        <v/>
      </c>
      <c r="G48" s="10">
        <f>G7+G18-G35-G36-G38-G39-G40</f>
        <v/>
      </c>
      <c r="I48" s="26" t="inlineStr">
        <is>
          <t>Cost of revenue plus opex, less every non-cash add-back above</t>
        </is>
      </c>
    </row>
    <row r="49">
      <c r="B49" s="9" t="inlineStr">
        <is>
          <t>Days in the period</t>
        </is>
      </c>
      <c r="C49" s="10" t="n">
        <v>31</v>
      </c>
      <c r="G49" s="10" t="n">
        <v>31</v>
      </c>
      <c r="I49" s="26" t="inlineStr">
        <is>
          <t>January 2026 and December 2025</t>
        </is>
      </c>
    </row>
  </sheetData>
  <mergeCells count="2">
    <mergeCell ref="A46:I46"/>
    <mergeCell ref="A32:I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showGridLines="0" workbookViewId="0">
      <selection activeCell="A1" sqref="A1"/>
    </sheetView>
  </sheetViews>
  <sheetFormatPr baseColWidth="8" defaultRowHeight="15"/>
  <cols>
    <col width="11" customWidth="1" min="1" max="1"/>
    <col width="40" customWidth="1" min="2" max="2"/>
    <col width="16" customWidth="1" min="3" max="3"/>
    <col width="16" customWidth="1" min="4" max="4"/>
    <col width="14" customWidth="1" min="5" max="5"/>
    <col width="11" customWidth="1" min="6" max="6"/>
    <col width="16" customWidth="1" min="7" max="7"/>
    <col width="3" customWidth="1" min="8" max="8"/>
    <col width="62" customWidth="1" min="9" max="9"/>
  </cols>
  <sheetData>
    <row r="1">
      <c r="A1" s="1" t="inlineStr">
        <is>
          <t>Revenue and committed ARR - January 2026</t>
        </is>
      </c>
    </row>
    <row r="2">
      <c r="A2" s="2" t="inlineStr">
        <is>
          <t>Revenue by stream against the FY26 plan of record, and the ARR waterfall struck from the effective-dated change log.</t>
        </is>
      </c>
    </row>
    <row r="3">
      <c r="A3" s="3" t="inlineStr">
        <is>
          <t>This tab OWNS revenue. Every other appearance of a revenue figure in this pack is a reference to a cell on this page.</t>
        </is>
      </c>
    </row>
    <row r="5" ht="24" customHeight="1">
      <c r="A5" s="5" t="inlineStr">
        <is>
          <t>Account</t>
        </is>
      </c>
      <c r="B5" s="5" t="inlineStr">
        <is>
          <t>Stream</t>
        </is>
      </c>
      <c r="C5" s="5" t="inlineStr">
        <is>
          <t>Actual</t>
        </is>
      </c>
      <c r="D5" s="5" t="inlineStr">
        <is>
          <t>Plan</t>
        </is>
      </c>
      <c r="E5" s="5" t="inlineStr">
        <is>
          <t>Variance</t>
        </is>
      </c>
      <c r="F5" s="5" t="inlineStr">
        <is>
          <t>Var %</t>
        </is>
      </c>
      <c r="G5" s="5" t="inlineStr">
        <is>
          <t>Prior month</t>
        </is>
      </c>
      <c r="H5" s="4" t="inlineStr"/>
      <c r="I5" s="5" t="inlineStr">
        <is>
          <t>Note</t>
        </is>
      </c>
    </row>
    <row r="6">
      <c r="A6" s="9" t="inlineStr">
        <is>
          <t>4000</t>
        </is>
      </c>
      <c r="B6" s="9" t="inlineStr">
        <is>
          <t>Subscription revenue - platform</t>
        </is>
      </c>
      <c r="C6" s="10" t="n">
        <v>1518870.36</v>
      </c>
      <c r="D6" s="10" t="n">
        <v>1537543.03</v>
      </c>
      <c r="E6" s="10">
        <f>C6-D6</f>
        <v/>
      </c>
      <c r="F6" s="11">
        <f>IF(D6=0,"",E6/ABS(D6))</f>
        <v/>
      </c>
      <c r="G6" s="10" t="n">
        <v>1511709.7</v>
      </c>
      <c r="I6" s="26" t="inlineStr"/>
    </row>
    <row r="7">
      <c r="A7" s="9" t="inlineStr">
        <is>
          <t>4010</t>
        </is>
      </c>
      <c r="B7" s="9" t="inlineStr">
        <is>
          <t>Usage revenue - overage</t>
        </is>
      </c>
      <c r="C7" s="10" t="n">
        <v>149825.87</v>
      </c>
      <c r="D7" s="10" t="n">
        <v>209105.85</v>
      </c>
      <c r="E7" s="10">
        <f>C7-D7</f>
        <v/>
      </c>
      <c r="F7" s="11">
        <f>IF(D7=0,"",E7/ABS(D7))</f>
        <v/>
      </c>
      <c r="G7" s="10" t="n">
        <v>224476.44</v>
      </c>
      <c r="I7" s="26" t="inlineStr"/>
    </row>
    <row r="8">
      <c r="A8" s="9" t="inlineStr">
        <is>
          <t>4020</t>
        </is>
      </c>
      <c r="B8" s="9" t="inlineStr">
        <is>
          <t>Professional services revenue</t>
        </is>
      </c>
      <c r="C8" s="10" t="n">
        <v>96565.35000000001</v>
      </c>
      <c r="D8" s="10" t="n">
        <v>92000</v>
      </c>
      <c r="E8" s="10">
        <f>C8-D8</f>
        <v/>
      </c>
      <c r="F8" s="11">
        <f>IF(D8=0,"",E8/ABS(D8))</f>
        <v/>
      </c>
      <c r="G8" s="10" t="n">
        <v>105335.52</v>
      </c>
      <c r="I8" s="26" t="inlineStr"/>
    </row>
    <row r="9">
      <c r="A9" s="9" t="inlineStr">
        <is>
          <t>4030</t>
        </is>
      </c>
      <c r="B9" s="9" t="inlineStr">
        <is>
          <t>Other revenue</t>
        </is>
      </c>
      <c r="C9" s="10" t="n">
        <v>9725.870000000001</v>
      </c>
      <c r="D9" s="10" t="n">
        <v>8000</v>
      </c>
      <c r="E9" s="10">
        <f>C9-D9</f>
        <v/>
      </c>
      <c r="F9" s="11">
        <f>IF(D9=0,"",E9/ABS(D9))</f>
        <v/>
      </c>
      <c r="G9" s="10" t="n">
        <v>10409.05</v>
      </c>
      <c r="I9" s="26" t="inlineStr"/>
    </row>
    <row r="10">
      <c r="A10" s="9" t="inlineStr">
        <is>
          <t>4090</t>
        </is>
      </c>
      <c r="B10" s="9" t="inlineStr">
        <is>
          <t>Contra revenue - credits and refunds</t>
        </is>
      </c>
      <c r="C10" s="10" t="n">
        <v>-4634.69</v>
      </c>
      <c r="D10" s="10" t="n">
        <v>-2000</v>
      </c>
      <c r="E10" s="10">
        <f>C10-D10</f>
        <v/>
      </c>
      <c r="F10" s="11">
        <f>IF(D10=0,"",E10/ABS(D10))</f>
        <v/>
      </c>
      <c r="G10" s="10" t="n">
        <v>-18900</v>
      </c>
      <c r="I10" s="26" t="inlineStr">
        <is>
          <t>Contra account - reduces revenue</t>
        </is>
      </c>
    </row>
    <row r="11">
      <c r="A11" s="13" t="inlineStr"/>
      <c r="B11" s="13" t="inlineStr">
        <is>
          <t>Total revenue</t>
        </is>
      </c>
      <c r="C11" s="14">
        <f>SUM(C6:C10)</f>
        <v/>
      </c>
      <c r="D11" s="14">
        <f>SUM(D6:D10)</f>
        <v/>
      </c>
      <c r="E11" s="14">
        <f>C11-D11</f>
        <v/>
      </c>
      <c r="F11" s="15">
        <f>IF(D11=0,"",E11/ABS(D11))</f>
        <v/>
      </c>
      <c r="G11" s="14">
        <f>SUM(G6:G10)</f>
        <v/>
      </c>
      <c r="H11" s="12" t="n"/>
      <c r="I11" s="12" t="n"/>
    </row>
    <row r="14">
      <c r="A14" s="19" t="inlineStr">
        <is>
          <t>COMMITTED ARR WATERFALL</t>
        </is>
      </c>
      <c r="B14" s="19" t="n"/>
      <c r="C14" s="19" t="n"/>
      <c r="D14" s="19" t="n"/>
      <c r="E14" s="19" t="n"/>
      <c r="F14" s="19" t="n"/>
      <c r="G14" s="19" t="n"/>
      <c r="H14" s="19" t="n"/>
      <c r="I14" s="19" t="n"/>
    </row>
    <row r="15">
      <c r="A15" s="16" t="inlineStr">
        <is>
          <t>Committed recurring subscription only, at contracted price, excluding usage and services - metric MET-001 as ruled. The closing figure is FOOTED from the movements, not stated: a waterfall whose close is typed always ties and tells you nothing.</t>
        </is>
      </c>
    </row>
    <row r="16" ht="24" customHeight="1">
      <c r="A16" s="4" t="inlineStr"/>
      <c r="B16" s="5" t="inlineStr">
        <is>
          <t>Movement</t>
        </is>
      </c>
      <c r="C16" s="5" t="inlineStr">
        <is>
          <t>USD</t>
        </is>
      </c>
      <c r="D16" s="4" t="inlineStr"/>
      <c r="E16" s="4" t="inlineStr"/>
      <c r="F16" s="4" t="inlineStr"/>
      <c r="G16" s="4" t="inlineStr"/>
      <c r="H16" s="4" t="inlineStr"/>
      <c r="I16" s="5" t="inlineStr">
        <is>
          <t>Basis</t>
        </is>
      </c>
    </row>
    <row r="17">
      <c r="A17" s="9" t="inlineStr"/>
      <c r="B17" s="9" t="inlineStr">
        <is>
          <t>Opening ARR, 31 December 2025</t>
        </is>
      </c>
      <c r="C17" s="10" t="n">
        <v>17600516.4</v>
      </c>
      <c r="I17" s="26" t="inlineStr">
        <is>
          <t>Closing MRR on the FY2025 waterfall x 12</t>
        </is>
      </c>
    </row>
    <row r="18">
      <c r="A18" s="9" t="inlineStr"/>
      <c r="B18" s="9" t="inlineStr">
        <is>
          <t>New logos</t>
        </is>
      </c>
      <c r="C18" s="10" t="n">
        <v>624000</v>
      </c>
      <c r="I18" s="26" t="inlineStr">
        <is>
          <t>First contracted MRR, annualized</t>
        </is>
      </c>
    </row>
    <row r="19">
      <c r="A19" s="9" t="inlineStr"/>
      <c r="B19" s="9" t="inlineStr">
        <is>
          <t>Expansion</t>
        </is>
      </c>
      <c r="C19" s="10" t="n">
        <v>26497.92</v>
      </c>
      <c r="I19" s="26" t="inlineStr">
        <is>
          <t>Seat and tier increases on live customers</t>
        </is>
      </c>
    </row>
    <row r="20">
      <c r="A20" s="9" t="inlineStr"/>
      <c r="B20" s="9" t="inlineStr">
        <is>
          <t>Price uplift</t>
        </is>
      </c>
      <c r="C20" s="10" t="n">
        <v>0</v>
      </c>
      <c r="I20" s="26" t="inlineStr">
        <is>
          <t>Contracted uplifts taking effect</t>
        </is>
      </c>
    </row>
    <row r="21">
      <c r="A21" s="9" t="inlineStr"/>
      <c r="B21" s="9" t="inlineStr">
        <is>
          <t>Contraction</t>
        </is>
      </c>
      <c r="C21" s="10" t="n">
        <v>0</v>
      </c>
      <c r="I21" s="26" t="inlineStr">
        <is>
          <t>Downgrades on live customers</t>
        </is>
      </c>
    </row>
    <row r="22">
      <c r="A22" s="9" t="inlineStr"/>
      <c r="B22" s="9" t="inlineStr">
        <is>
          <t>Churn</t>
        </is>
      </c>
      <c r="C22" s="10" t="n">
        <v>-24570</v>
      </c>
      <c r="I22" s="26" t="inlineStr">
        <is>
          <t>Cancellations effective in the month</t>
        </is>
      </c>
    </row>
    <row r="23">
      <c r="A23" s="13" t="inlineStr"/>
      <c r="B23" s="13" t="inlineStr">
        <is>
          <t>Closing ARR, 31 January 2026</t>
        </is>
      </c>
      <c r="C23" s="14">
        <f>C17+SUM(C18:C22)</f>
        <v/>
      </c>
      <c r="D23" s="12" t="n"/>
      <c r="E23" s="12" t="n"/>
      <c r="F23" s="12" t="n"/>
      <c r="G23" s="12" t="n"/>
      <c r="H23" s="12" t="n"/>
      <c r="I23" s="27" t="inlineStr">
        <is>
          <t>Footed from the movements above</t>
        </is>
      </c>
    </row>
    <row r="24">
      <c r="A24" s="9" t="inlineStr"/>
      <c r="B24" s="9" t="inlineStr">
        <is>
          <t>Committed ARR per the ARR schedule</t>
        </is>
      </c>
      <c r="C24" s="10" t="n">
        <v>18226444.32</v>
      </c>
      <c r="I24" s="26" t="inlineStr">
        <is>
          <t>MET-001, from arr_schedule_2026-01.csv</t>
        </is>
      </c>
    </row>
    <row r="25">
      <c r="A25" s="6" t="inlineStr"/>
      <c r="B25" s="6" t="inlineStr">
        <is>
          <t>Difference</t>
        </is>
      </c>
      <c r="C25" s="7">
        <f>C23-C24</f>
        <v/>
      </c>
      <c r="I25" s="28" t="inlineStr">
        <is>
          <t>Must be nil - the waterfall and the schedule are the same book</t>
        </is>
      </c>
    </row>
    <row r="28">
      <c r="A28" s="19" t="inlineStr">
        <is>
          <t>THE BOOK BEHIND THE REVENUE</t>
        </is>
      </c>
      <c r="B28" s="19" t="n"/>
      <c r="C28" s="19" t="n"/>
      <c r="D28" s="19" t="n"/>
      <c r="E28" s="19" t="n"/>
      <c r="F28" s="19" t="n"/>
      <c r="G28" s="19" t="n"/>
      <c r="H28" s="19" t="n"/>
      <c r="I28" s="19" t="n"/>
    </row>
    <row r="29" ht="24" customHeight="1">
      <c r="A29" s="4" t="inlineStr"/>
      <c r="B29" s="5" t="inlineStr">
        <is>
          <t>Measure</t>
        </is>
      </c>
      <c r="C29" s="5" t="inlineStr">
        <is>
          <t>Value</t>
        </is>
      </c>
      <c r="D29" s="4" t="inlineStr"/>
      <c r="E29" s="4" t="inlineStr"/>
      <c r="F29" s="4" t="inlineStr"/>
      <c r="G29" s="4" t="inlineStr"/>
      <c r="H29" s="4" t="inlineStr"/>
      <c r="I29" s="5" t="inlineStr">
        <is>
          <t>Definition</t>
        </is>
      </c>
    </row>
    <row r="30">
      <c r="A30" s="9" t="inlineStr"/>
      <c r="B30" s="9" t="inlineStr">
        <is>
          <t>Live customers</t>
        </is>
      </c>
      <c r="C30" s="10" t="n">
        <v>121</v>
      </c>
      <c r="I30" s="26" t="inlineStr">
        <is>
          <t>Customers with contracted recurring MRR at the period end</t>
        </is>
      </c>
    </row>
    <row r="31">
      <c r="A31" s="9" t="inlineStr"/>
      <c r="B31" s="9" t="inlineStr">
        <is>
          <t>Average MRR per customer</t>
        </is>
      </c>
      <c r="C31" s="10" t="n">
        <v>12552.65</v>
      </c>
      <c r="I31" s="26" t="inlineStr">
        <is>
          <t>Committed MRR / live customers</t>
        </is>
      </c>
    </row>
    <row r="32">
      <c r="A32" s="9" t="inlineStr"/>
      <c r="B32" s="9" t="inlineStr">
        <is>
          <t>Committed MRR</t>
        </is>
      </c>
      <c r="C32" s="10" t="n">
        <v>1518870.36</v>
      </c>
      <c r="I32" s="26" t="inlineStr">
        <is>
          <t>Closing ARR / 12</t>
        </is>
      </c>
    </row>
    <row r="33">
      <c r="A33" s="9" t="inlineStr"/>
      <c r="B33" s="9" t="inlineStr">
        <is>
          <t>Pages processed</t>
        </is>
      </c>
      <c r="C33" s="10" t="n">
        <v>12835043</v>
      </c>
      <c r="I33" s="26" t="inlineStr">
        <is>
          <t>MET-011 denominator - pages processed, not pages invoiced</t>
        </is>
      </c>
    </row>
  </sheetData>
  <mergeCells count="1">
    <mergeCell ref="A15:I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11" customWidth="1" min="1" max="1"/>
    <col width="42" customWidth="1" min="2" max="2"/>
    <col width="16" customWidth="1" min="3" max="3"/>
    <col width="16" customWidth="1" min="4" max="4"/>
    <col width="14" customWidth="1" min="5" max="5"/>
    <col width="11" customWidth="1" min="6" max="6"/>
    <col width="16" customWidth="1" min="7" max="7"/>
    <col width="3" customWidth="1" min="8" max="8"/>
    <col width="58" customWidth="1" min="9" max="9"/>
  </cols>
  <sheetData>
    <row r="1">
      <c r="A1" s="1" t="inlineStr">
        <is>
          <t>Gross margin - January 2026</t>
        </is>
      </c>
    </row>
    <row r="2">
      <c r="A2" s="2" t="inlineStr">
        <is>
          <t>Cost of revenue by account against plan, and the unit economics behind it.</t>
        </is>
      </c>
    </row>
    <row r="3">
      <c r="A3" s="3" t="inlineStr">
        <is>
          <t>This tab OWNS cost of revenue by account. Revenue is referenced from the Revenue tab and is not restated here.</t>
        </is>
      </c>
    </row>
    <row r="5" ht="24" customHeight="1">
      <c r="A5" s="5" t="inlineStr">
        <is>
          <t>Account</t>
        </is>
      </c>
      <c r="B5" s="5" t="inlineStr">
        <is>
          <t>Line</t>
        </is>
      </c>
      <c r="C5" s="5" t="inlineStr">
        <is>
          <t>Actual</t>
        </is>
      </c>
      <c r="D5" s="5" t="inlineStr">
        <is>
          <t>Plan</t>
        </is>
      </c>
      <c r="E5" s="5" t="inlineStr">
        <is>
          <t>Variance</t>
        </is>
      </c>
      <c r="F5" s="5" t="inlineStr">
        <is>
          <t>Var %</t>
        </is>
      </c>
      <c r="G5" s="5" t="inlineStr">
        <is>
          <t>Prior month</t>
        </is>
      </c>
      <c r="H5" s="4" t="inlineStr"/>
      <c r="I5" s="5" t="inlineStr">
        <is>
          <t>Note</t>
        </is>
      </c>
    </row>
    <row r="6">
      <c r="A6" s="9" t="inlineStr">
        <is>
          <t>5000</t>
        </is>
      </c>
      <c r="B6" s="9" t="inlineStr">
        <is>
          <t>COGS - model and inference API</t>
        </is>
      </c>
      <c r="C6" s="10" t="n">
        <v>122061.27</v>
      </c>
      <c r="D6" s="10" t="n">
        <v>109559.99</v>
      </c>
      <c r="E6" s="10">
        <f>D6-C6</f>
        <v/>
      </c>
      <c r="F6" s="11">
        <f>IF(D6=0,"",E6/ABS(D6))</f>
        <v/>
      </c>
      <c r="G6" s="10" t="n">
        <v>136279.28</v>
      </c>
      <c r="I6" s="26" t="inlineStr"/>
    </row>
    <row r="7">
      <c r="A7" s="9" t="inlineStr">
        <is>
          <t>5010</t>
        </is>
      </c>
      <c r="B7" s="9" t="inlineStr">
        <is>
          <t>COGS - cloud hosting and storage</t>
        </is>
      </c>
      <c r="C7" s="10" t="n">
        <v>106453.6</v>
      </c>
      <c r="D7" s="10" t="n">
        <v>107522.5</v>
      </c>
      <c r="E7" s="10">
        <f>D7-C7</f>
        <v/>
      </c>
      <c r="F7" s="11">
        <f>IF(D7=0,"",E7/ABS(D7))</f>
        <v/>
      </c>
      <c r="G7" s="10" t="n">
        <v>105352.47</v>
      </c>
      <c r="I7" s="26" t="inlineStr"/>
    </row>
    <row r="8">
      <c r="A8" s="9" t="inlineStr">
        <is>
          <t>5020</t>
        </is>
      </c>
      <c r="B8" s="9" t="inlineStr">
        <is>
          <t>COGS - dedicated GPU compute</t>
        </is>
      </c>
      <c r="C8" s="10" t="n">
        <v>39000</v>
      </c>
      <c r="D8" s="10" t="n">
        <v>39000</v>
      </c>
      <c r="E8" s="10">
        <f>D8-C8</f>
        <v/>
      </c>
      <c r="F8" s="11">
        <f>IF(D8=0,"",E8/ABS(D8))</f>
        <v/>
      </c>
      <c r="G8" s="10" t="n">
        <v>34500</v>
      </c>
      <c r="I8" s="26" t="inlineStr"/>
    </row>
    <row r="9">
      <c r="A9" s="9" t="inlineStr">
        <is>
          <t>5030</t>
        </is>
      </c>
      <c r="B9" s="9" t="inlineStr">
        <is>
          <t>COGS - third-party data and APIs</t>
        </is>
      </c>
      <c r="C9" s="10" t="n">
        <v>24146.8</v>
      </c>
      <c r="D9" s="10" t="n">
        <v>22916.68</v>
      </c>
      <c r="E9" s="10">
        <f>D9-C9</f>
        <v/>
      </c>
      <c r="F9" s="11">
        <f>IF(D9=0,"",E9/ABS(D9))</f>
        <v/>
      </c>
      <c r="G9" s="10" t="n">
        <v>22780</v>
      </c>
      <c r="I9" s="26" t="inlineStr"/>
    </row>
    <row r="10">
      <c r="A10" s="9" t="inlineStr">
        <is>
          <t>5040</t>
        </is>
      </c>
      <c r="B10" s="9" t="inlineStr">
        <is>
          <t>COGS - support payroll</t>
        </is>
      </c>
      <c r="C10" s="10" t="n">
        <v>36164.22</v>
      </c>
      <c r="D10" s="10" t="n">
        <v>55000</v>
      </c>
      <c r="E10" s="10">
        <f>D10-C10</f>
        <v/>
      </c>
      <c r="F10" s="11">
        <f>IF(D10=0,"",E10/ABS(D10))</f>
        <v/>
      </c>
      <c r="G10" s="10" t="n">
        <v>35754</v>
      </c>
      <c r="I10" s="26" t="inlineStr"/>
    </row>
    <row r="11">
      <c r="A11" s="9" t="inlineStr">
        <is>
          <t>5050</t>
        </is>
      </c>
      <c r="B11" s="9" t="inlineStr">
        <is>
          <t>COGS - professional services payroll</t>
        </is>
      </c>
      <c r="C11" s="10" t="n">
        <v>56565.25</v>
      </c>
      <c r="D11" s="10" t="n">
        <v>55000</v>
      </c>
      <c r="E11" s="10">
        <f>D11-C11</f>
        <v/>
      </c>
      <c r="F11" s="11">
        <f>IF(D11=0,"",E11/ABS(D11))</f>
        <v/>
      </c>
      <c r="G11" s="10" t="n">
        <v>46712.5</v>
      </c>
      <c r="I11" s="26" t="inlineStr"/>
    </row>
    <row r="12">
      <c r="A12" s="9" t="inlineStr">
        <is>
          <t>5060</t>
        </is>
      </c>
      <c r="B12" s="9" t="inlineStr">
        <is>
          <t>COGS - delivery contractors</t>
        </is>
      </c>
      <c r="C12" s="10" t="n">
        <v>16442.4</v>
      </c>
      <c r="D12" s="10" t="n">
        <v>15968.1</v>
      </c>
      <c r="E12" s="10">
        <f>D12-C12</f>
        <v/>
      </c>
      <c r="F12" s="11">
        <f>IF(D12=0,"",E12/ABS(D12))</f>
        <v/>
      </c>
      <c r="G12" s="10" t="n">
        <v>15810</v>
      </c>
      <c r="I12" s="26" t="inlineStr"/>
    </row>
    <row r="13">
      <c r="A13" s="9" t="inlineStr">
        <is>
          <t>5070</t>
        </is>
      </c>
      <c r="B13" s="9" t="inlineStr">
        <is>
          <t>COGS - amortization of capitalized software</t>
        </is>
      </c>
      <c r="C13" s="10" t="n">
        <v>43694.23</v>
      </c>
      <c r="D13" s="10" t="n">
        <v>44500</v>
      </c>
      <c r="E13" s="10">
        <f>D13-C13</f>
        <v/>
      </c>
      <c r="F13" s="11">
        <f>IF(D13=0,"",E13/ABS(D13))</f>
        <v/>
      </c>
      <c r="G13" s="10" t="n">
        <v>43694.23</v>
      </c>
      <c r="I13" s="26" t="inlineStr">
        <is>
          <t>Non-cash - added back to EBITDA</t>
        </is>
      </c>
    </row>
    <row r="14">
      <c r="A14" s="9" t="inlineStr">
        <is>
          <t>5080</t>
        </is>
      </c>
      <c r="B14" s="9" t="inlineStr">
        <is>
          <t>COGS - payment processing fees</t>
        </is>
      </c>
      <c r="C14" s="10" t="n">
        <v>7769</v>
      </c>
      <c r="D14" s="10" t="n">
        <v>11469.6</v>
      </c>
      <c r="E14" s="10">
        <f>D14-C14</f>
        <v/>
      </c>
      <c r="F14" s="11">
        <f>IF(D14=0,"",E14/ABS(D14))</f>
        <v/>
      </c>
      <c r="G14" s="10" t="n">
        <v>11469.6</v>
      </c>
      <c r="I14" s="26" t="inlineStr"/>
    </row>
    <row r="15">
      <c r="A15" s="9" t="inlineStr">
        <is>
          <t>5090</t>
        </is>
      </c>
      <c r="B15" s="9" t="inlineStr">
        <is>
          <t>COGS - other</t>
        </is>
      </c>
      <c r="C15" s="10" t="n">
        <v>3677.1</v>
      </c>
      <c r="D15" s="10" t="n">
        <v>3584.28</v>
      </c>
      <c r="E15" s="10">
        <f>D15-C15</f>
        <v/>
      </c>
      <c r="F15" s="11">
        <f>IF(D15=0,"",E15/ABS(D15))</f>
        <v/>
      </c>
      <c r="G15" s="10" t="n">
        <v>3570</v>
      </c>
      <c r="I15" s="26" t="inlineStr"/>
    </row>
    <row r="16">
      <c r="A16" s="13" t="inlineStr"/>
      <c r="B16" s="13" t="inlineStr">
        <is>
          <t>Total cost of revenue</t>
        </is>
      </c>
      <c r="C16" s="14">
        <f>SUM(C6:C15)</f>
        <v/>
      </c>
      <c r="D16" s="14">
        <f>SUM(D6:D15)</f>
        <v/>
      </c>
      <c r="E16" s="14">
        <f>D16-C16</f>
        <v/>
      </c>
      <c r="F16" s="15">
        <f>IF(D16=0,"",E16/ABS(D16))</f>
        <v/>
      </c>
      <c r="G16" s="14">
        <f>SUM(G6:G15)</f>
        <v/>
      </c>
      <c r="H16" s="12" t="n"/>
      <c r="I16" s="12" t="n"/>
    </row>
    <row r="18">
      <c r="A18" s="9" t="inlineStr"/>
      <c r="B18" s="9" t="inlineStr">
        <is>
          <t>Revenue</t>
        </is>
      </c>
      <c r="C18" s="10">
        <f>'Revenue and ARR'!C11</f>
        <v/>
      </c>
      <c r="D18" s="10">
        <f>'Revenue and ARR'!D11</f>
        <v/>
      </c>
      <c r="E18" s="10">
        <f>C18-D18</f>
        <v/>
      </c>
      <c r="G18" s="10">
        <f>'Revenue and ARR'!G11</f>
        <v/>
      </c>
    </row>
    <row r="19">
      <c r="A19" s="23" t="inlineStr"/>
      <c r="B19" s="23" t="inlineStr">
        <is>
          <t>Gross profit</t>
        </is>
      </c>
      <c r="C19" s="24">
        <f>C18-C16</f>
        <v/>
      </c>
      <c r="D19" s="24">
        <f>D18-D16</f>
        <v/>
      </c>
      <c r="E19" s="24">
        <f>C19-D19</f>
        <v/>
      </c>
      <c r="F19" s="25">
        <f>IF(D19=0,"",E19/ABS(D19))</f>
        <v/>
      </c>
      <c r="G19" s="24">
        <f>G18-G16</f>
        <v/>
      </c>
    </row>
    <row r="20">
      <c r="A20" s="16" t="inlineStr"/>
      <c r="B20" s="16" t="inlineStr">
        <is>
          <t xml:space="preserve">   Gross margin %</t>
        </is>
      </c>
      <c r="C20" s="17">
        <f>IF(C18=0,"",C19/C18)</f>
        <v/>
      </c>
      <c r="D20" s="17">
        <f>IF(D18=0,"",D19/D18)</f>
        <v/>
      </c>
      <c r="E20" s="18">
        <f>IF(OR(C18=0,D18=0),"",(C19/C18-D19/D18)*100)</f>
        <v/>
      </c>
      <c r="G20" s="17">
        <f>IF(G18=0,"",G19/G18)</f>
        <v/>
      </c>
    </row>
    <row r="21">
      <c r="A21" s="16" t="inlineStr">
        <is>
          <t>The move is in POINTS, which is the number an operator argues about, and is not the percentage variance carried in column F elsewhere on this page.</t>
        </is>
      </c>
    </row>
    <row r="24">
      <c r="A24" s="19" t="inlineStr">
        <is>
          <t>UNIT ECONOMICS - COST PER PAGE PROCESSED</t>
        </is>
      </c>
      <c r="B24" s="19" t="n"/>
      <c r="C24" s="19" t="n"/>
      <c r="D24" s="19" t="n"/>
      <c r="E24" s="19" t="n"/>
      <c r="F24" s="19" t="n"/>
      <c r="G24" s="19" t="n"/>
      <c r="H24" s="19" t="n"/>
      <c r="I24" s="19" t="n"/>
    </row>
    <row r="25">
      <c r="A25" s="16" t="inlineStr">
        <is>
          <t>MET-011 as ruled: accounts 5000, 5010 and 5020 over pages PROCESSED, not pages invoiced. The plan's rate is the FY26 inference curve's starting point, which is what makes a flat month evidence about the distillation program.</t>
        </is>
      </c>
    </row>
    <row r="26" ht="24" customHeight="1">
      <c r="A26" s="5" t="inlineStr">
        <is>
          <t>Account</t>
        </is>
      </c>
      <c r="B26" s="5" t="inlineStr">
        <is>
          <t>Line</t>
        </is>
      </c>
      <c r="C26" s="5" t="inlineStr">
        <is>
          <t>Actual USD</t>
        </is>
      </c>
      <c r="D26" s="5" t="inlineStr">
        <is>
          <t>Plan USD</t>
        </is>
      </c>
      <c r="E26" s="4" t="inlineStr"/>
      <c r="F26" s="5" t="inlineStr">
        <is>
          <t>Actual per page</t>
        </is>
      </c>
      <c r="G26" s="5" t="inlineStr">
        <is>
          <t>Plan per page</t>
        </is>
      </c>
      <c r="H26" s="4" t="inlineStr"/>
      <c r="I26" s="5" t="inlineStr">
        <is>
          <t>Note</t>
        </is>
      </c>
    </row>
    <row r="27">
      <c r="A27" s="9" t="inlineStr">
        <is>
          <t>5000</t>
        </is>
      </c>
      <c r="B27" s="9" t="inlineStr">
        <is>
          <t>COGS - model and inference API</t>
        </is>
      </c>
      <c r="C27" s="10">
        <f>C6</f>
        <v/>
      </c>
      <c r="D27" s="10">
        <f>D6</f>
        <v/>
      </c>
      <c r="F27" s="29">
        <f>IF('Revenue and ARR'!C33=0,"",C27/'Revenue and ARR'!C33)</f>
        <v/>
      </c>
      <c r="G27" s="29">
        <f>IF('Revenue and ARR'!C33=0,"",D27/'Revenue and ARR'!C33)</f>
        <v/>
      </c>
      <c r="I27" s="26" t="inlineStr">
        <is>
          <t>Divided by pages processed on the Revenue tab</t>
        </is>
      </c>
    </row>
    <row r="28">
      <c r="A28" s="9" t="inlineStr">
        <is>
          <t>5010</t>
        </is>
      </c>
      <c r="B28" s="9" t="inlineStr">
        <is>
          <t>COGS - cloud hosting and storage</t>
        </is>
      </c>
      <c r="C28" s="10">
        <f>C7</f>
        <v/>
      </c>
      <c r="D28" s="10">
        <f>D7</f>
        <v/>
      </c>
      <c r="F28" s="29">
        <f>IF('Revenue and ARR'!C33=0,"",C28/'Revenue and ARR'!C33)</f>
        <v/>
      </c>
      <c r="G28" s="29">
        <f>IF('Revenue and ARR'!C33=0,"",D28/'Revenue and ARR'!C33)</f>
        <v/>
      </c>
      <c r="I28" s="26" t="inlineStr">
        <is>
          <t>Divided by pages processed on the Revenue tab</t>
        </is>
      </c>
    </row>
    <row r="29">
      <c r="A29" s="9" t="inlineStr">
        <is>
          <t>5020</t>
        </is>
      </c>
      <c r="B29" s="9" t="inlineStr">
        <is>
          <t>COGS - dedicated GPU compute</t>
        </is>
      </c>
      <c r="C29" s="10">
        <f>C8</f>
        <v/>
      </c>
      <c r="D29" s="10">
        <f>D8</f>
        <v/>
      </c>
      <c r="F29" s="29">
        <f>IF('Revenue and ARR'!C33=0,"",C29/'Revenue and ARR'!C33)</f>
        <v/>
      </c>
      <c r="G29" s="29">
        <f>IF('Revenue and ARR'!C33=0,"",D29/'Revenue and ARR'!C33)</f>
        <v/>
      </c>
      <c r="I29" s="26" t="inlineStr">
        <is>
          <t>Divided by pages processed on the Revenue tab</t>
        </is>
      </c>
    </row>
    <row r="30">
      <c r="A30" s="13" t="inlineStr"/>
      <c r="B30" s="13" t="inlineStr">
        <is>
          <t>Blended cost per page</t>
        </is>
      </c>
      <c r="C30" s="14">
        <f>SUM(C27:C29)</f>
        <v/>
      </c>
      <c r="D30" s="14">
        <f>SUM(D27:D29)</f>
        <v/>
      </c>
      <c r="E30" s="12" t="n"/>
      <c r="F30" s="30">
        <f>IF('Revenue and ARR'!C33=0,"",C30/'Revenue and ARR'!C33)</f>
        <v/>
      </c>
      <c r="G30" s="30">
        <f>IF('Revenue and ARR'!C33=0,"",D30/'Revenue and ARR'!C33)</f>
        <v/>
      </c>
      <c r="H30" s="12" t="n"/>
      <c r="I30" s="27" t="inlineStr">
        <is>
          <t>The line the FY26 exit margin depends on</t>
        </is>
      </c>
    </row>
  </sheetData>
  <mergeCells count="2">
    <mergeCell ref="A25:I25"/>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11" customWidth="1" min="1" max="1"/>
    <col width="30" customWidth="1" min="2" max="2"/>
    <col width="34" customWidth="1" min="3" max="3"/>
    <col width="10" customWidth="1" min="4" max="4"/>
    <col width="16" customWidth="1" min="5" max="5"/>
    <col width="16" customWidth="1" min="6" max="6"/>
    <col width="14" customWidth="1" min="7" max="7"/>
    <col width="11" customWidth="1" min="8" max="8"/>
    <col width="3" customWidth="1" min="9" max="9"/>
    <col width="44" customWidth="1" min="10" max="10"/>
  </cols>
  <sheetData>
    <row r="1">
      <c r="A1" s="1" t="inlineStr">
        <is>
          <t>Operating expense by cost center owner - January 2026</t>
        </is>
      </c>
    </row>
    <row r="2">
      <c r="A2" s="2" t="inlineStr">
        <is>
          <t>Every operating dollar against the person who answers for it.</t>
        </is>
      </c>
    </row>
    <row r="3">
      <c r="A3" s="3" t="inlineStr">
        <is>
          <t>Grain is cost center AND financial statement line. A center may spend across more than one - an Executive salary is G&amp;A while the same center's engineering spend is R&amp;D - and collapsing that is what makes the by-owner cut and the by-FSLI cut disagree while both still foot.</t>
        </is>
      </c>
    </row>
    <row r="5" ht="24" customHeight="1">
      <c r="A5" s="5" t="inlineStr">
        <is>
          <t>Cost center</t>
        </is>
      </c>
      <c r="B5" s="5" t="inlineStr">
        <is>
          <t>Name</t>
        </is>
      </c>
      <c r="C5" s="5" t="inlineStr">
        <is>
          <t>Owner</t>
        </is>
      </c>
      <c r="D5" s="5" t="inlineStr">
        <is>
          <t>Entity</t>
        </is>
      </c>
      <c r="E5" s="5" t="inlineStr">
        <is>
          <t>Actual</t>
        </is>
      </c>
      <c r="F5" s="5" t="inlineStr">
        <is>
          <t>Plan</t>
        </is>
      </c>
      <c r="G5" s="5" t="inlineStr">
        <is>
          <t>Variance</t>
        </is>
      </c>
      <c r="H5" s="5" t="inlineStr">
        <is>
          <t>Var %</t>
        </is>
      </c>
      <c r="I5" s="4" t="inlineStr"/>
      <c r="J5" s="5" t="inlineStr">
        <is>
          <t>Statement line</t>
        </is>
      </c>
    </row>
    <row r="6">
      <c r="A6" s="9" t="inlineStr">
        <is>
          <t>CC-100</t>
        </is>
      </c>
      <c r="B6" s="9" t="inlineStr">
        <is>
          <t>Executive</t>
        </is>
      </c>
      <c r="C6" s="9" t="inlineStr">
        <is>
          <t>Dana Whitfield (CEO)</t>
        </is>
      </c>
      <c r="D6" s="9" t="inlineStr">
        <is>
          <t>ARC-US</t>
        </is>
      </c>
      <c r="E6" s="10" t="n">
        <v>26376.74</v>
      </c>
      <c r="F6" s="10" t="n">
        <v>35315.45</v>
      </c>
      <c r="G6" s="10">
        <f>F6-E6</f>
        <v/>
      </c>
      <c r="H6" s="11">
        <f>IF(F6=0,"",G6/ABS(F6))</f>
        <v/>
      </c>
      <c r="J6" s="9" t="inlineStr">
        <is>
          <t>Research and development</t>
        </is>
      </c>
    </row>
    <row r="7">
      <c r="A7" s="9" t="inlineStr">
        <is>
          <t>CC-200</t>
        </is>
      </c>
      <c r="B7" s="9" t="inlineStr">
        <is>
          <t>Engineering</t>
        </is>
      </c>
      <c r="C7" s="9" t="inlineStr">
        <is>
          <t>Priya Raghavan (VP Engineering)</t>
        </is>
      </c>
      <c r="D7" s="9" t="inlineStr">
        <is>
          <t>ARC-US</t>
        </is>
      </c>
      <c r="E7" s="10" t="n">
        <v>380204.76</v>
      </c>
      <c r="F7" s="10" t="n">
        <v>437735.41</v>
      </c>
      <c r="G7" s="10">
        <f>F7-E7</f>
        <v/>
      </c>
      <c r="H7" s="11">
        <f>IF(F7=0,"",G7/ABS(F7))</f>
        <v/>
      </c>
      <c r="J7" s="9" t="inlineStr">
        <is>
          <t>Research and development</t>
        </is>
      </c>
    </row>
    <row r="8">
      <c r="A8" s="9" t="inlineStr">
        <is>
          <t>CC-210</t>
        </is>
      </c>
      <c r="B8" s="9" t="inlineStr">
        <is>
          <t>Applied Research</t>
        </is>
      </c>
      <c r="C8" s="9" t="inlineStr">
        <is>
          <t>Tomas Lindqvist (Head of Applied Research)</t>
        </is>
      </c>
      <c r="D8" s="9" t="inlineStr">
        <is>
          <t>ARC-US</t>
        </is>
      </c>
      <c r="E8" s="10" t="n">
        <v>472399.4</v>
      </c>
      <c r="F8" s="10" t="n">
        <v>177238.06</v>
      </c>
      <c r="G8" s="10">
        <f>F8-E8</f>
        <v/>
      </c>
      <c r="H8" s="11">
        <f>IF(F8=0,"",G8/ABS(F8))</f>
        <v/>
      </c>
      <c r="J8" s="9" t="inlineStr">
        <is>
          <t>Research and development</t>
        </is>
      </c>
    </row>
    <row r="9">
      <c r="A9" s="9" t="inlineStr">
        <is>
          <t>CC-220</t>
        </is>
      </c>
      <c r="B9" s="9" t="inlineStr">
        <is>
          <t>Platform &amp; Infrastructure</t>
        </is>
      </c>
      <c r="C9" s="9" t="inlineStr">
        <is>
          <t>Marcus Bell (Head of Infrastructure)</t>
        </is>
      </c>
      <c r="D9" s="9" t="inlineStr">
        <is>
          <t>ARC-US</t>
        </is>
      </c>
      <c r="E9" s="10" t="n">
        <v>189961.95</v>
      </c>
      <c r="F9" s="10" t="n">
        <v>152935.74</v>
      </c>
      <c r="G9" s="10">
        <f>F9-E9</f>
        <v/>
      </c>
      <c r="H9" s="11">
        <f>IF(F9=0,"",G9/ABS(F9))</f>
        <v/>
      </c>
      <c r="J9" s="9" t="inlineStr">
        <is>
          <t>Research and development</t>
        </is>
      </c>
    </row>
    <row r="10">
      <c r="A10" s="9" t="inlineStr">
        <is>
          <t>CC-300</t>
        </is>
      </c>
      <c r="B10" s="9" t="inlineStr">
        <is>
          <t>Product &amp; Design</t>
        </is>
      </c>
      <c r="C10" s="9" t="inlineStr">
        <is>
          <t>Elena Duarte (VP Product)</t>
        </is>
      </c>
      <c r="D10" s="9" t="inlineStr">
        <is>
          <t>ARC-US</t>
        </is>
      </c>
      <c r="E10" s="10" t="n">
        <v>105341.12</v>
      </c>
      <c r="F10" s="10" t="n">
        <v>122980.01</v>
      </c>
      <c r="G10" s="10">
        <f>F10-E10</f>
        <v/>
      </c>
      <c r="H10" s="11">
        <f>IF(F10=0,"",G10/ABS(F10))</f>
        <v/>
      </c>
      <c r="J10" s="9" t="inlineStr">
        <is>
          <t>Research and development</t>
        </is>
      </c>
    </row>
    <row r="11">
      <c r="A11" s="9" t="inlineStr">
        <is>
          <t>CC-500</t>
        </is>
      </c>
      <c r="B11" s="9" t="inlineStr">
        <is>
          <t>Marketing</t>
        </is>
      </c>
      <c r="C11" s="9" t="inlineStr">
        <is>
          <t>Naomi Ostrander (VP Marketing)</t>
        </is>
      </c>
      <c r="D11" s="9" t="inlineStr">
        <is>
          <t>ARC-US</t>
        </is>
      </c>
      <c r="E11" s="10" t="n">
        <v>-215000</v>
      </c>
      <c r="F11" s="10" t="n">
        <v>0</v>
      </c>
      <c r="G11" s="10">
        <f>F11-E11</f>
        <v/>
      </c>
      <c r="H11" s="11">
        <f>IF(F11=0,"",G11/ABS(F11))</f>
        <v/>
      </c>
      <c r="J11" s="9" t="inlineStr">
        <is>
          <t>Research and development</t>
        </is>
      </c>
    </row>
    <row r="12">
      <c r="A12" s="9" t="inlineStr">
        <is>
          <t>CC-700</t>
        </is>
      </c>
      <c r="B12" s="9" t="inlineStr">
        <is>
          <t>Finance</t>
        </is>
      </c>
      <c r="C12" s="9" t="inlineStr">
        <is>
          <t>Jonathan Reyes (VP Finance)</t>
        </is>
      </c>
      <c r="D12" s="9" t="inlineStr">
        <is>
          <t>ARC-US</t>
        </is>
      </c>
      <c r="E12" s="10" t="n">
        <v>24615.9</v>
      </c>
      <c r="F12" s="10" t="n">
        <v>0</v>
      </c>
      <c r="G12" s="10">
        <f>F12-E12</f>
        <v/>
      </c>
      <c r="H12" s="11">
        <f>IF(F12=0,"",G12/ABS(F12))</f>
        <v/>
      </c>
      <c r="J12" s="9" t="inlineStr">
        <is>
          <t>Research and development</t>
        </is>
      </c>
    </row>
    <row r="13">
      <c r="A13" s="9" t="inlineStr">
        <is>
          <t>CC-400</t>
        </is>
      </c>
      <c r="B13" s="9" t="inlineStr">
        <is>
          <t>Sales - Enterprise</t>
        </is>
      </c>
      <c r="C13" s="9" t="inlineStr">
        <is>
          <t>Grant Mwangi (VP Sales)</t>
        </is>
      </c>
      <c r="D13" s="9" t="inlineStr">
        <is>
          <t>ARC-US</t>
        </is>
      </c>
      <c r="E13" s="10" t="n">
        <v>283759.42</v>
      </c>
      <c r="F13" s="10" t="n">
        <v>224831.77</v>
      </c>
      <c r="G13" s="10">
        <f>F13-E13</f>
        <v/>
      </c>
      <c r="H13" s="11">
        <f>IF(F13=0,"",G13/ABS(F13))</f>
        <v/>
      </c>
      <c r="J13" s="9" t="inlineStr">
        <is>
          <t>Sales and marketing</t>
        </is>
      </c>
    </row>
    <row r="14">
      <c r="A14" s="9" t="inlineStr">
        <is>
          <t>CC-410</t>
        </is>
      </c>
      <c r="B14" s="9" t="inlineStr">
        <is>
          <t>Sales - Mid-market</t>
        </is>
      </c>
      <c r="C14" s="9" t="inlineStr">
        <is>
          <t>Grant Mwangi (VP Sales)</t>
        </is>
      </c>
      <c r="D14" s="9" t="inlineStr">
        <is>
          <t>ARC-US</t>
        </is>
      </c>
      <c r="E14" s="10" t="n">
        <v>64715.64</v>
      </c>
      <c r="F14" s="10" t="n">
        <v>111398.3</v>
      </c>
      <c r="G14" s="10">
        <f>F14-E14</f>
        <v/>
      </c>
      <c r="H14" s="11">
        <f>IF(F14=0,"",G14/ABS(F14))</f>
        <v/>
      </c>
      <c r="J14" s="9" t="inlineStr">
        <is>
          <t>Sales and marketing</t>
        </is>
      </c>
    </row>
    <row r="15">
      <c r="A15" s="9" t="inlineStr">
        <is>
          <t>CC-420</t>
        </is>
      </c>
      <c r="B15" s="9" t="inlineStr">
        <is>
          <t>Sales Engineering</t>
        </is>
      </c>
      <c r="C15" s="9" t="inlineStr">
        <is>
          <t>Ruth Oyelaran (Dir. Sales Engineering)</t>
        </is>
      </c>
      <c r="D15" s="9" t="inlineStr">
        <is>
          <t>ARC-US</t>
        </is>
      </c>
      <c r="E15" s="10" t="n">
        <v>58907.68</v>
      </c>
      <c r="F15" s="10" t="n">
        <v>118789.15</v>
      </c>
      <c r="G15" s="10">
        <f>F15-E15</f>
        <v/>
      </c>
      <c r="H15" s="11">
        <f>IF(F15=0,"",G15/ABS(F15))</f>
        <v/>
      </c>
      <c r="J15" s="9" t="inlineStr">
        <is>
          <t>Sales and marketing</t>
        </is>
      </c>
    </row>
    <row r="16">
      <c r="A16" s="9" t="inlineStr">
        <is>
          <t>CC-430</t>
        </is>
      </c>
      <c r="B16" s="9" t="inlineStr">
        <is>
          <t>Revenue Operations</t>
        </is>
      </c>
      <c r="C16" s="9" t="inlineStr">
        <is>
          <t>Kevin Sandoval (Dir. RevOps)</t>
        </is>
      </c>
      <c r="D16" s="9" t="inlineStr">
        <is>
          <t>ARC-US</t>
        </is>
      </c>
      <c r="E16" s="10" t="n">
        <v>85376.06</v>
      </c>
      <c r="F16" s="10" t="n">
        <v>76479.22</v>
      </c>
      <c r="G16" s="10">
        <f>F16-E16</f>
        <v/>
      </c>
      <c r="H16" s="11">
        <f>IF(F16=0,"",G16/ABS(F16))</f>
        <v/>
      </c>
      <c r="J16" s="9" t="inlineStr">
        <is>
          <t>Sales and marketing</t>
        </is>
      </c>
    </row>
    <row r="17">
      <c r="A17" s="9" t="inlineStr">
        <is>
          <t>CC-440</t>
        </is>
      </c>
      <c r="B17" s="9" t="inlineStr">
        <is>
          <t>Sales - EMEA</t>
        </is>
      </c>
      <c r="C17" s="9" t="inlineStr">
        <is>
          <t>Isabelle Rochet (Dir. EMEA)</t>
        </is>
      </c>
      <c r="D17" s="9" t="inlineStr">
        <is>
          <t>ARC-UK</t>
        </is>
      </c>
      <c r="E17" s="10" t="n">
        <v>43802.93</v>
      </c>
      <c r="F17" s="10" t="n">
        <v>88536.23</v>
      </c>
      <c r="G17" s="10">
        <f>F17-E17</f>
        <v/>
      </c>
      <c r="H17" s="11">
        <f>IF(F17=0,"",G17/ABS(F17))</f>
        <v/>
      </c>
      <c r="J17" s="9" t="inlineStr">
        <is>
          <t>Sales and marketing</t>
        </is>
      </c>
    </row>
    <row r="18">
      <c r="A18" s="9" t="inlineStr">
        <is>
          <t>CC-500</t>
        </is>
      </c>
      <c r="B18" s="9" t="inlineStr">
        <is>
          <t>Marketing</t>
        </is>
      </c>
      <c r="C18" s="9" t="inlineStr">
        <is>
          <t>Naomi Ostrander (VP Marketing)</t>
        </is>
      </c>
      <c r="D18" s="9" t="inlineStr">
        <is>
          <t>ARC-US</t>
        </is>
      </c>
      <c r="E18" s="10" t="n">
        <v>213677.59</v>
      </c>
      <c r="F18" s="10" t="n">
        <v>144389.34</v>
      </c>
      <c r="G18" s="10">
        <f>F18-E18</f>
        <v/>
      </c>
      <c r="H18" s="11">
        <f>IF(F18=0,"",G18/ABS(F18))</f>
        <v/>
      </c>
      <c r="J18" s="9" t="inlineStr">
        <is>
          <t>Sales and marketing</t>
        </is>
      </c>
    </row>
    <row r="19">
      <c r="A19" s="9" t="inlineStr">
        <is>
          <t>CC-600</t>
        </is>
      </c>
      <c r="B19" s="9" t="inlineStr">
        <is>
          <t>Customer Success</t>
        </is>
      </c>
      <c r="C19" s="9" t="inlineStr">
        <is>
          <t>Hana Kobayashi (VP CS)</t>
        </is>
      </c>
      <c r="D19" s="9" t="inlineStr">
        <is>
          <t>ARC-US</t>
        </is>
      </c>
      <c r="E19" s="10" t="n">
        <v>57833.79</v>
      </c>
      <c r="F19" s="10" t="n">
        <v>117075.33</v>
      </c>
      <c r="G19" s="10">
        <f>F19-E19</f>
        <v/>
      </c>
      <c r="H19" s="11">
        <f>IF(F19=0,"",G19/ABS(F19))</f>
        <v/>
      </c>
      <c r="J19" s="9" t="inlineStr">
        <is>
          <t>Sales and marketing</t>
        </is>
      </c>
    </row>
    <row r="20">
      <c r="A20" s="9" t="inlineStr">
        <is>
          <t>CC-700</t>
        </is>
      </c>
      <c r="B20" s="9" t="inlineStr">
        <is>
          <t>Finance</t>
        </is>
      </c>
      <c r="C20" s="9" t="inlineStr">
        <is>
          <t>Jonathan Reyes (VP Finance)</t>
        </is>
      </c>
      <c r="D20" s="9" t="inlineStr">
        <is>
          <t>ARC-US</t>
        </is>
      </c>
      <c r="E20" s="10" t="n">
        <v>4508.4</v>
      </c>
      <c r="F20" s="10" t="n">
        <v>0</v>
      </c>
      <c r="G20" s="10">
        <f>F20-E20</f>
        <v/>
      </c>
      <c r="H20" s="11">
        <f>IF(F20=0,"",G20/ABS(F20))</f>
        <v/>
      </c>
      <c r="J20" s="9" t="inlineStr">
        <is>
          <t>Sales and marketing</t>
        </is>
      </c>
    </row>
    <row r="21">
      <c r="A21" s="9" t="inlineStr">
        <is>
          <t>CC-100</t>
        </is>
      </c>
      <c r="B21" s="9" t="inlineStr">
        <is>
          <t>Executive</t>
        </is>
      </c>
      <c r="C21" s="9" t="inlineStr">
        <is>
          <t>Dana Whitfield (CEO)</t>
        </is>
      </c>
      <c r="D21" s="9" t="inlineStr">
        <is>
          <t>ARC-US</t>
        </is>
      </c>
      <c r="E21" s="10" t="n">
        <v>176014.75</v>
      </c>
      <c r="F21" s="10" t="n">
        <v>220521.7</v>
      </c>
      <c r="G21" s="10">
        <f>F21-E21</f>
        <v/>
      </c>
      <c r="H21" s="11">
        <f>IF(F21=0,"",G21/ABS(F21))</f>
        <v/>
      </c>
      <c r="J21" s="9" t="inlineStr">
        <is>
          <t>General and administrative</t>
        </is>
      </c>
    </row>
    <row r="22">
      <c r="A22" s="9" t="inlineStr">
        <is>
          <t>CC-700</t>
        </is>
      </c>
      <c r="B22" s="9" t="inlineStr">
        <is>
          <t>Finance</t>
        </is>
      </c>
      <c r="C22" s="9" t="inlineStr">
        <is>
          <t>Jonathan Reyes (VP Finance)</t>
        </is>
      </c>
      <c r="D22" s="9" t="inlineStr">
        <is>
          <t>ARC-US</t>
        </is>
      </c>
      <c r="E22" s="10" t="n">
        <v>145685.5</v>
      </c>
      <c r="F22" s="10" t="n">
        <v>139720.73</v>
      </c>
      <c r="G22" s="10">
        <f>F22-E22</f>
        <v/>
      </c>
      <c r="H22" s="11">
        <f>IF(F22=0,"",G22/ABS(F22))</f>
        <v/>
      </c>
      <c r="J22" s="9" t="inlineStr">
        <is>
          <t>General and administrative</t>
        </is>
      </c>
    </row>
    <row r="23">
      <c r="A23" s="9" t="inlineStr">
        <is>
          <t>CC-710</t>
        </is>
      </c>
      <c r="B23" s="9" t="inlineStr">
        <is>
          <t>People Operations</t>
        </is>
      </c>
      <c r="C23" s="9" t="inlineStr">
        <is>
          <t>Cara Nwosu (Head of People)</t>
        </is>
      </c>
      <c r="D23" s="9" t="inlineStr">
        <is>
          <t>ARC-US</t>
        </is>
      </c>
      <c r="E23" s="10" t="n">
        <v>114806.76</v>
      </c>
      <c r="F23" s="10" t="n">
        <v>75900.49000000001</v>
      </c>
      <c r="G23" s="10">
        <f>F23-E23</f>
        <v/>
      </c>
      <c r="H23" s="11">
        <f>IF(F23=0,"",G23/ABS(F23))</f>
        <v/>
      </c>
      <c r="J23" s="9" t="inlineStr">
        <is>
          <t>General and administrative</t>
        </is>
      </c>
    </row>
    <row r="24">
      <c r="A24" s="9" t="inlineStr">
        <is>
          <t>CC-720</t>
        </is>
      </c>
      <c r="B24" s="9" t="inlineStr">
        <is>
          <t>Legal</t>
        </is>
      </c>
      <c r="C24" s="9" t="inlineStr">
        <is>
          <t>Simon Aldridge (General Counsel)</t>
        </is>
      </c>
      <c r="D24" s="9" t="inlineStr">
        <is>
          <t>ARC-US</t>
        </is>
      </c>
      <c r="E24" s="10" t="n">
        <v>113402.7</v>
      </c>
      <c r="F24" s="10" t="n">
        <v>96756.03</v>
      </c>
      <c r="G24" s="10">
        <f>F24-E24</f>
        <v/>
      </c>
      <c r="H24" s="11">
        <f>IF(F24=0,"",G24/ABS(F24))</f>
        <v/>
      </c>
      <c r="J24" s="9" t="inlineStr">
        <is>
          <t>General and administrative</t>
        </is>
      </c>
    </row>
    <row r="25">
      <c r="A25" s="9" t="inlineStr">
        <is>
          <t>CC-730</t>
        </is>
      </c>
      <c r="B25" s="9" t="inlineStr">
        <is>
          <t>IT &amp; Security</t>
        </is>
      </c>
      <c r="C25" s="9" t="inlineStr">
        <is>
          <t>Marcus Bell (Head of Infrastructure)</t>
        </is>
      </c>
      <c r="D25" s="9" t="inlineStr">
        <is>
          <t>ARC-US</t>
        </is>
      </c>
      <c r="E25" s="10" t="n">
        <v>83289.58</v>
      </c>
      <c r="F25" s="10" t="n">
        <v>60857.15</v>
      </c>
      <c r="G25" s="10">
        <f>F25-E25</f>
        <v/>
      </c>
      <c r="H25" s="11">
        <f>IF(F25=0,"",G25/ABS(F25))</f>
        <v/>
      </c>
      <c r="J25" s="9" t="inlineStr">
        <is>
          <t>General and administrative</t>
        </is>
      </c>
    </row>
    <row r="27">
      <c r="A27" s="19" t="inlineStr">
        <is>
          <t>BY STATEMENT LINE</t>
        </is>
      </c>
      <c r="B27" s="19" t="n"/>
      <c r="C27" s="19" t="n"/>
      <c r="D27" s="19" t="n"/>
      <c r="E27" s="19" t="n"/>
      <c r="F27" s="19" t="n"/>
      <c r="G27" s="19" t="n"/>
      <c r="H27" s="19" t="n"/>
      <c r="I27" s="19" t="n"/>
      <c r="J27" s="19" t="n"/>
    </row>
    <row r="28">
      <c r="A28" s="16" t="inlineStr">
        <is>
          <t>These three subtotals are what the P&amp;L by FSLI points at. The two cuts are equal by construction at this grain, and the verifier proves it rather than assuming it.</t>
        </is>
      </c>
    </row>
    <row r="29" ht="24" customHeight="1">
      <c r="A29" s="4" t="inlineStr"/>
      <c r="B29" s="5" t="inlineStr">
        <is>
          <t>Statement line</t>
        </is>
      </c>
      <c r="C29" s="4" t="inlineStr"/>
      <c r="D29" s="4" t="inlineStr"/>
      <c r="E29" s="5" t="inlineStr">
        <is>
          <t>Actual</t>
        </is>
      </c>
      <c r="F29" s="5" t="inlineStr">
        <is>
          <t>Plan</t>
        </is>
      </c>
      <c r="G29" s="5" t="inlineStr">
        <is>
          <t>Variance</t>
        </is>
      </c>
      <c r="H29" s="5" t="inlineStr">
        <is>
          <t>Var %</t>
        </is>
      </c>
    </row>
    <row r="30">
      <c r="A30" s="6" t="inlineStr"/>
      <c r="B30" s="6" t="inlineStr">
        <is>
          <t>Research and development</t>
        </is>
      </c>
      <c r="E30" s="7">
        <f>E6+E7+E8+E9+E10+E11+E12</f>
        <v/>
      </c>
      <c r="F30" s="7">
        <f>F6+F7+F8+F9+F10+F11+F12</f>
        <v/>
      </c>
      <c r="G30" s="7">
        <f>F30-E30</f>
        <v/>
      </c>
      <c r="H30" s="8">
        <f>IF(F30=0,"",G30/ABS(F30))</f>
        <v/>
      </c>
    </row>
    <row r="31">
      <c r="A31" s="6" t="inlineStr"/>
      <c r="B31" s="6" t="inlineStr">
        <is>
          <t>Sales and marketing</t>
        </is>
      </c>
      <c r="E31" s="7">
        <f>E13+E14+E15+E16+E17+E18+E19+E20</f>
        <v/>
      </c>
      <c r="F31" s="7">
        <f>F13+F14+F15+F16+F17+F18+F19+F20</f>
        <v/>
      </c>
      <c r="G31" s="7">
        <f>F31-E31</f>
        <v/>
      </c>
      <c r="H31" s="8">
        <f>IF(F31=0,"",G31/ABS(F31))</f>
        <v/>
      </c>
    </row>
    <row r="32">
      <c r="A32" s="6" t="inlineStr"/>
      <c r="B32" s="6" t="inlineStr">
        <is>
          <t>General and administrative</t>
        </is>
      </c>
      <c r="E32" s="7">
        <f>E21+E22+E23+E24+E25</f>
        <v/>
      </c>
      <c r="F32" s="7">
        <f>F21+F22+F23+F24+F25</f>
        <v/>
      </c>
      <c r="G32" s="7">
        <f>F32-E32</f>
        <v/>
      </c>
      <c r="H32" s="8">
        <f>IF(F32=0,"",G32/ABS(F32))</f>
        <v/>
      </c>
    </row>
    <row r="33">
      <c r="A33" s="13" t="inlineStr"/>
      <c r="B33" s="13" t="inlineStr">
        <is>
          <t>Total operating expense</t>
        </is>
      </c>
      <c r="C33" s="12" t="n"/>
      <c r="D33" s="12" t="n"/>
      <c r="E33" s="14">
        <f>SUM(E30:E32)</f>
        <v/>
      </c>
      <c r="F33" s="14">
        <f>SUM(F30:F32)</f>
        <v/>
      </c>
      <c r="G33" s="14">
        <f>F33-E33</f>
        <v/>
      </c>
      <c r="H33" s="15">
        <f>IF(F33=0,"",G33/ABS(F33))</f>
        <v/>
      </c>
      <c r="I33" s="12" t="n"/>
      <c r="J33" s="12" t="n"/>
    </row>
  </sheetData>
  <mergeCells count="1">
    <mergeCell ref="A28:J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showGridLines="0" workbookViewId="0">
      <selection activeCell="A1" sqref="A1"/>
    </sheetView>
  </sheetViews>
  <sheetFormatPr baseColWidth="8" defaultRowHeight="15"/>
  <cols>
    <col width="11" customWidth="1" min="1" max="1"/>
    <col width="44" customWidth="1" min="2" max="2"/>
    <col width="18" customWidth="1" min="3" max="3"/>
    <col width="18" customWidth="1" min="4" max="4"/>
    <col width="16" customWidth="1" min="5" max="5"/>
    <col width="3" customWidth="1" min="6" max="6"/>
    <col width="15" customWidth="1" min="7" max="7"/>
    <col width="46" customWidth="1" min="8" max="8"/>
  </cols>
  <sheetData>
    <row r="1">
      <c r="A1" s="1" t="inlineStr">
        <is>
          <t>Balance sheet - 31 January 2026, with 31 December 2025</t>
        </is>
      </c>
    </row>
    <row r="2">
      <c r="A2" s="2" t="inlineStr">
        <is>
          <t>Classified current and non-current, so a ratio can be built over a subtotal that already exists on the page.</t>
        </is>
      </c>
    </row>
    <row r="3">
      <c r="A3" s="3" t="inlineStr">
        <is>
          <t>A hand-listed SUM of account rows breaks the first time somebody adds an account. Built over a subtotal, it cannot.</t>
        </is>
      </c>
    </row>
    <row r="5" ht="24" customHeight="1">
      <c r="A5" s="5" t="inlineStr">
        <is>
          <t>Account</t>
        </is>
      </c>
      <c r="B5" s="5" t="inlineStr">
        <is>
          <t>Line</t>
        </is>
      </c>
      <c r="C5" s="5" t="inlineStr">
        <is>
          <t>31 Jan 2026</t>
        </is>
      </c>
      <c r="D5" s="5" t="inlineStr">
        <is>
          <t>31 Dec 2025</t>
        </is>
      </c>
      <c r="E5" s="5" t="inlineStr">
        <is>
          <t>Movement</t>
        </is>
      </c>
      <c r="F5" s="4" t="inlineStr"/>
      <c r="G5" s="5" t="inlineStr">
        <is>
          <t>Class</t>
        </is>
      </c>
      <c r="H5" s="5" t="inlineStr">
        <is>
          <t>Classification basis</t>
        </is>
      </c>
    </row>
    <row r="6">
      <c r="A6" s="19" t="inlineStr">
        <is>
          <t>Current assets</t>
        </is>
      </c>
      <c r="B6" s="19" t="n"/>
      <c r="C6" s="19" t="n"/>
      <c r="D6" s="19" t="n"/>
      <c r="E6" s="19" t="n"/>
      <c r="F6" s="19" t="n"/>
      <c r="G6" s="19" t="n"/>
      <c r="H6" s="19" t="n"/>
    </row>
    <row r="7">
      <c r="A7" s="9" t="inlineStr">
        <is>
          <t>1000</t>
        </is>
      </c>
      <c r="B7" s="9" t="inlineStr">
        <is>
          <t>Cash - operating (Mercury)</t>
        </is>
      </c>
      <c r="C7" s="10" t="n">
        <v>18190127.21</v>
      </c>
      <c r="D7" s="10" t="n">
        <v>19274836.03</v>
      </c>
      <c r="E7" s="10">
        <f>C7-D7</f>
        <v/>
      </c>
      <c r="G7" s="9" t="inlineStr">
        <is>
          <t>Current</t>
        </is>
      </c>
      <c r="H7" s="26" t="inlineStr">
        <is>
          <t>Settles or converts within twelve months</t>
        </is>
      </c>
    </row>
    <row r="8">
      <c r="A8" s="9" t="inlineStr">
        <is>
          <t>1010</t>
        </is>
      </c>
      <c r="B8" s="9" t="inlineStr">
        <is>
          <t>Cash - payroll clearing</t>
        </is>
      </c>
      <c r="C8" s="10" t="n">
        <v>0.03</v>
      </c>
      <c r="D8" s="10" t="n">
        <v>0.03</v>
      </c>
      <c r="E8" s="10">
        <f>C8-D8</f>
        <v/>
      </c>
      <c r="G8" s="9" t="inlineStr">
        <is>
          <t>Current</t>
        </is>
      </c>
      <c r="H8" s="26" t="inlineStr">
        <is>
          <t>Settles or converts within twelve months</t>
        </is>
      </c>
    </row>
    <row r="9">
      <c r="A9" s="9" t="inlineStr">
        <is>
          <t>1020</t>
        </is>
      </c>
      <c r="B9" s="9" t="inlineStr">
        <is>
          <t>Treasury - money market</t>
        </is>
      </c>
      <c r="C9" s="10" t="n">
        <v>5453612.74</v>
      </c>
      <c r="D9" s="10" t="n">
        <v>5369432.07</v>
      </c>
      <c r="E9" s="10">
        <f>C9-D9</f>
        <v/>
      </c>
      <c r="G9" s="9" t="inlineStr">
        <is>
          <t>Current</t>
        </is>
      </c>
      <c r="H9" s="26" t="inlineStr">
        <is>
          <t>Settles or converts within twelve months</t>
        </is>
      </c>
    </row>
    <row r="10">
      <c r="A10" s="9" t="inlineStr">
        <is>
          <t>1030</t>
        </is>
      </c>
      <c r="B10" s="9" t="inlineStr">
        <is>
          <t>Stripe clearing account</t>
        </is>
      </c>
      <c r="C10" s="10" t="n">
        <v>142000</v>
      </c>
      <c r="D10" s="10" t="n">
        <v>216793.6</v>
      </c>
      <c r="E10" s="10">
        <f>C10-D10</f>
        <v/>
      </c>
      <c r="G10" s="9" t="inlineStr">
        <is>
          <t>Current</t>
        </is>
      </c>
      <c r="H10" s="26" t="inlineStr">
        <is>
          <t>Settles or converts within twelve months</t>
        </is>
      </c>
    </row>
    <row r="11">
      <c r="A11" s="9" t="inlineStr">
        <is>
          <t>1100</t>
        </is>
      </c>
      <c r="B11" s="9" t="inlineStr">
        <is>
          <t>Accounts receivable - trade</t>
        </is>
      </c>
      <c r="C11" s="10" t="n">
        <v>4890193.37</v>
      </c>
      <c r="D11" s="10" t="n">
        <v>3307580.73</v>
      </c>
      <c r="E11" s="10">
        <f>C11-D11</f>
        <v/>
      </c>
      <c r="G11" s="9" t="inlineStr">
        <is>
          <t>Current</t>
        </is>
      </c>
      <c r="H11" s="26" t="inlineStr">
        <is>
          <t>Settles or converts within twelve months</t>
        </is>
      </c>
    </row>
    <row r="12">
      <c r="A12" s="9" t="inlineStr">
        <is>
          <t>1150</t>
        </is>
      </c>
      <c r="B12" s="9" t="inlineStr">
        <is>
          <t>Allowance for credit losses</t>
        </is>
      </c>
      <c r="C12" s="10" t="n">
        <v>-117280</v>
      </c>
      <c r="D12" s="10" t="n">
        <v>-112560</v>
      </c>
      <c r="E12" s="10">
        <f>C12-D12</f>
        <v/>
      </c>
      <c r="G12" s="9" t="inlineStr">
        <is>
          <t>Current</t>
        </is>
      </c>
      <c r="H12" s="26" t="inlineStr">
        <is>
          <t>Settles or converts within twelve months</t>
        </is>
      </c>
    </row>
    <row r="13">
      <c r="A13" s="9" t="inlineStr">
        <is>
          <t>1200</t>
        </is>
      </c>
      <c r="B13" s="9" t="inlineStr">
        <is>
          <t>Unbilled receivable (contract asset)</t>
        </is>
      </c>
      <c r="C13" s="10" t="n">
        <v>425978.58</v>
      </c>
      <c r="D13" s="10" t="n">
        <v>310000</v>
      </c>
      <c r="E13" s="10">
        <f>C13-D13</f>
        <v/>
      </c>
      <c r="G13" s="9" t="inlineStr">
        <is>
          <t>Current</t>
        </is>
      </c>
      <c r="H13" s="26" t="inlineStr">
        <is>
          <t>Settles or converts within twelve months</t>
        </is>
      </c>
    </row>
    <row r="14">
      <c r="A14" s="9" t="inlineStr">
        <is>
          <t>1300</t>
        </is>
      </c>
      <c r="B14" s="9" t="inlineStr">
        <is>
          <t>Prepaid expenses - other</t>
        </is>
      </c>
      <c r="C14" s="10" t="n">
        <v>221558.5</v>
      </c>
      <c r="D14" s="10" t="n">
        <v>185000</v>
      </c>
      <c r="E14" s="10">
        <f>C14-D14</f>
        <v/>
      </c>
      <c r="G14" s="9" t="inlineStr">
        <is>
          <t>Current</t>
        </is>
      </c>
      <c r="H14" s="26" t="inlineStr">
        <is>
          <t>Settles or converts within twelve months</t>
        </is>
      </c>
    </row>
    <row r="15">
      <c r="A15" s="9" t="inlineStr">
        <is>
          <t>1310</t>
        </is>
      </c>
      <c r="B15" s="9" t="inlineStr">
        <is>
          <t>Prepaid software subscriptions</t>
        </is>
      </c>
      <c r="C15" s="10" t="n">
        <v>543083.46</v>
      </c>
      <c r="D15" s="10" t="n">
        <v>420000.12</v>
      </c>
      <c r="E15" s="10">
        <f>C15-D15</f>
        <v/>
      </c>
      <c r="G15" s="9" t="inlineStr">
        <is>
          <t>Current</t>
        </is>
      </c>
      <c r="H15" s="26" t="inlineStr">
        <is>
          <t>Settles or converts within twelve months</t>
        </is>
      </c>
    </row>
    <row r="16">
      <c r="A16" s="9" t="inlineStr">
        <is>
          <t>1320</t>
        </is>
      </c>
      <c r="B16" s="9" t="inlineStr">
        <is>
          <t>Prepaid insurance</t>
        </is>
      </c>
      <c r="C16" s="10" t="n">
        <v>80333.28999999999</v>
      </c>
      <c r="D16" s="10" t="n">
        <v>95999.96000000001</v>
      </c>
      <c r="E16" s="10">
        <f>C16-D16</f>
        <v/>
      </c>
      <c r="G16" s="9" t="inlineStr">
        <is>
          <t>Current</t>
        </is>
      </c>
      <c r="H16" s="26" t="inlineStr">
        <is>
          <t>Settles or converts within twelve months</t>
        </is>
      </c>
    </row>
    <row r="17">
      <c r="A17" s="9" t="inlineStr">
        <is>
          <t>1330</t>
        </is>
      </c>
      <c r="B17" s="9" t="inlineStr">
        <is>
          <t>Prepaid cloud commitments</t>
        </is>
      </c>
      <c r="C17" s="10" t="n">
        <v>240000</v>
      </c>
      <c r="D17" s="10" t="n">
        <v>240000</v>
      </c>
      <c r="E17" s="10">
        <f>C17-D17</f>
        <v/>
      </c>
      <c r="G17" s="9" t="inlineStr">
        <is>
          <t>Current</t>
        </is>
      </c>
      <c r="H17" s="26" t="inlineStr">
        <is>
          <t>Settles or converts within twelve months</t>
        </is>
      </c>
    </row>
    <row r="18">
      <c r="A18" s="9" t="inlineStr">
        <is>
          <t>1400</t>
        </is>
      </c>
      <c r="B18" s="9" t="inlineStr">
        <is>
          <t>Deferred commissions - current</t>
        </is>
      </c>
      <c r="C18" s="10" t="n">
        <v>228184.23</v>
      </c>
      <c r="D18" s="10" t="n">
        <v>272341.91</v>
      </c>
      <c r="E18" s="10">
        <f>C18-D18</f>
        <v/>
      </c>
      <c r="G18" s="9" t="inlineStr">
        <is>
          <t>Current</t>
        </is>
      </c>
      <c r="H18" s="26" t="inlineStr">
        <is>
          <t>Settles or converts within twelve months</t>
        </is>
      </c>
    </row>
    <row r="19">
      <c r="A19" s="9" t="inlineStr">
        <is>
          <t>1500</t>
        </is>
      </c>
      <c r="B19" s="9" t="inlineStr">
        <is>
          <t>Other current assets</t>
        </is>
      </c>
      <c r="C19" s="10" t="n">
        <v>75000</v>
      </c>
      <c r="D19" s="10" t="n">
        <v>75000</v>
      </c>
      <c r="E19" s="10">
        <f>C19-D19</f>
        <v/>
      </c>
      <c r="G19" s="9" t="inlineStr">
        <is>
          <t>Current</t>
        </is>
      </c>
      <c r="H19" s="26" t="inlineStr">
        <is>
          <t>Settles or converts within twelve months</t>
        </is>
      </c>
    </row>
    <row r="20">
      <c r="A20" s="9" t="inlineStr">
        <is>
          <t>1900</t>
        </is>
      </c>
      <c r="B20" s="9" t="inlineStr">
        <is>
          <t>Intercompany receivable - ARC-UK</t>
        </is>
      </c>
      <c r="C20" s="10" t="n">
        <v>1190990.13</v>
      </c>
      <c r="D20" s="10" t="n">
        <v>1087487.61</v>
      </c>
      <c r="E20" s="10">
        <f>C20-D20</f>
        <v/>
      </c>
      <c r="G20" s="9" t="inlineStr">
        <is>
          <t>Current</t>
        </is>
      </c>
      <c r="H20" s="26" t="inlineStr">
        <is>
          <t>Settles or converts within twelve months</t>
        </is>
      </c>
    </row>
    <row r="21">
      <c r="A21" s="12" t="n"/>
      <c r="B21" s="13" t="inlineStr">
        <is>
          <t>Total current assets</t>
        </is>
      </c>
      <c r="C21" s="14">
        <f>SUM(C7:C20)</f>
        <v/>
      </c>
      <c r="D21" s="14">
        <f>SUM(D7:D20)</f>
        <v/>
      </c>
      <c r="E21" s="14">
        <f>C21-D21</f>
        <v/>
      </c>
      <c r="F21" s="12" t="n"/>
      <c r="G21" s="12" t="n"/>
      <c r="H21" s="12" t="n"/>
    </row>
    <row r="23">
      <c r="A23" s="19" t="inlineStr">
        <is>
          <t>Non-current assets</t>
        </is>
      </c>
      <c r="B23" s="19" t="n"/>
      <c r="C23" s="19" t="n"/>
      <c r="D23" s="19" t="n"/>
      <c r="E23" s="19" t="n"/>
      <c r="F23" s="19" t="n"/>
      <c r="G23" s="19" t="n"/>
      <c r="H23" s="19" t="n"/>
    </row>
    <row r="24">
      <c r="A24" s="9" t="inlineStr">
        <is>
          <t>1410</t>
        </is>
      </c>
      <c r="B24" s="9" t="inlineStr">
        <is>
          <t>Deferred commissions - non-current</t>
        </is>
      </c>
      <c r="C24" s="10" t="n">
        <v>510000</v>
      </c>
      <c r="D24" s="10" t="n">
        <v>510000</v>
      </c>
      <c r="E24" s="10">
        <f>C24-D24</f>
        <v/>
      </c>
      <c r="G24" s="9" t="inlineStr">
        <is>
          <t>Non-current</t>
        </is>
      </c>
      <c r="H24" s="26" t="inlineStr">
        <is>
          <t>Deferred commissions amortizing beyond twelve months</t>
        </is>
      </c>
    </row>
    <row r="25">
      <c r="A25" s="9" t="inlineStr">
        <is>
          <t>1600</t>
        </is>
      </c>
      <c r="B25" s="9" t="inlineStr">
        <is>
          <t>Computer equipment</t>
        </is>
      </c>
      <c r="C25" s="10" t="n">
        <v>1016955.83</v>
      </c>
      <c r="D25" s="10" t="n">
        <v>1000524.78</v>
      </c>
      <c r="E25" s="10">
        <f>C25-D25</f>
        <v/>
      </c>
      <c r="G25" s="9" t="inlineStr">
        <is>
          <t>Non-current</t>
        </is>
      </c>
      <c r="H25" s="26" t="inlineStr">
        <is>
          <t>Property and equipment</t>
        </is>
      </c>
    </row>
    <row r="26">
      <c r="A26" s="9" t="inlineStr">
        <is>
          <t>1610</t>
        </is>
      </c>
      <c r="B26" s="9" t="inlineStr">
        <is>
          <t>Leasehold improvements</t>
        </is>
      </c>
      <c r="C26" s="10" t="n">
        <v>310000</v>
      </c>
      <c r="D26" s="10" t="n">
        <v>310000</v>
      </c>
      <c r="E26" s="10">
        <f>C26-D26</f>
        <v/>
      </c>
      <c r="G26" s="9" t="inlineStr">
        <is>
          <t>Non-current</t>
        </is>
      </c>
      <c r="H26" s="26" t="inlineStr">
        <is>
          <t>Property and equipment</t>
        </is>
      </c>
    </row>
    <row r="27">
      <c r="A27" s="9" t="inlineStr">
        <is>
          <t>1620</t>
        </is>
      </c>
      <c r="B27" s="9" t="inlineStr">
        <is>
          <t>Capitalized internal-use software</t>
        </is>
      </c>
      <c r="C27" s="10" t="n">
        <v>2003237.4</v>
      </c>
      <c r="D27" s="10" t="n">
        <v>1944377.18</v>
      </c>
      <c r="E27" s="10">
        <f>C27-D27</f>
        <v/>
      </c>
      <c r="G27" s="9" t="inlineStr">
        <is>
          <t>Non-current</t>
        </is>
      </c>
      <c r="H27" s="26" t="inlineStr">
        <is>
          <t>Capitalized internal-use software</t>
        </is>
      </c>
    </row>
    <row r="28">
      <c r="A28" s="9" t="inlineStr">
        <is>
          <t>1650</t>
        </is>
      </c>
      <c r="B28" s="9" t="inlineStr">
        <is>
          <t>Accumulated depreciation</t>
        </is>
      </c>
      <c r="C28" s="10" t="n">
        <v>-620040</v>
      </c>
      <c r="D28" s="10" t="n">
        <v>-601520</v>
      </c>
      <c r="E28" s="10">
        <f>C28-D28</f>
        <v/>
      </c>
      <c r="G28" s="9" t="inlineStr">
        <is>
          <t>Non-current</t>
        </is>
      </c>
      <c r="H28" s="26" t="inlineStr">
        <is>
          <t>Contra - property and equipment</t>
        </is>
      </c>
    </row>
    <row r="29">
      <c r="A29" s="9" t="inlineStr">
        <is>
          <t>1660</t>
        </is>
      </c>
      <c r="B29" s="9" t="inlineStr">
        <is>
          <t>Accumulated amortization - IUS</t>
        </is>
      </c>
      <c r="C29" s="10" t="n">
        <v>-833653.88</v>
      </c>
      <c r="D29" s="10" t="n">
        <v>-789959.65</v>
      </c>
      <c r="E29" s="10">
        <f>C29-D29</f>
        <v/>
      </c>
      <c r="G29" s="9" t="inlineStr">
        <is>
          <t>Non-current</t>
        </is>
      </c>
      <c r="H29" s="26" t="inlineStr">
        <is>
          <t>Contra - capitalized software</t>
        </is>
      </c>
    </row>
    <row r="30">
      <c r="A30" s="9" t="inlineStr">
        <is>
          <t>1700</t>
        </is>
      </c>
      <c r="B30" s="9" t="inlineStr">
        <is>
          <t>Operating lease right-of-use asset</t>
        </is>
      </c>
      <c r="C30" s="10" t="n">
        <v>1080500</v>
      </c>
      <c r="D30" s="10" t="n">
        <v>1122000</v>
      </c>
      <c r="E30" s="10">
        <f>C30-D30</f>
        <v/>
      </c>
      <c r="G30" s="9" t="inlineStr">
        <is>
          <t>Non-current</t>
        </is>
      </c>
      <c r="H30" s="26" t="inlineStr">
        <is>
          <t>Operating lease right-of-use asset</t>
        </is>
      </c>
    </row>
    <row r="31">
      <c r="A31" s="9" t="inlineStr">
        <is>
          <t>1800</t>
        </is>
      </c>
      <c r="B31" s="9" t="inlineStr">
        <is>
          <t>Security deposits</t>
        </is>
      </c>
      <c r="C31" s="10" t="n">
        <v>180000</v>
      </c>
      <c r="D31" s="10" t="n">
        <v>180000</v>
      </c>
      <c r="E31" s="10">
        <f>C31-D31</f>
        <v/>
      </c>
      <c r="G31" s="9" t="inlineStr">
        <is>
          <t>Non-current</t>
        </is>
      </c>
      <c r="H31" s="26" t="inlineStr">
        <is>
          <t>Security deposits</t>
        </is>
      </c>
    </row>
    <row r="32">
      <c r="A32" s="12" t="n"/>
      <c r="B32" s="13" t="inlineStr">
        <is>
          <t>Total non-current assets</t>
        </is>
      </c>
      <c r="C32" s="14">
        <f>SUM(C24:C31)</f>
        <v/>
      </c>
      <c r="D32" s="14">
        <f>SUM(D24:D31)</f>
        <v/>
      </c>
      <c r="E32" s="14">
        <f>C32-D32</f>
        <v/>
      </c>
      <c r="F32" s="12" t="n"/>
      <c r="G32" s="12" t="n"/>
      <c r="H32" s="12" t="n"/>
    </row>
    <row r="34">
      <c r="A34" s="19" t="inlineStr">
        <is>
          <t>Current liabilities</t>
        </is>
      </c>
      <c r="B34" s="19" t="n"/>
      <c r="C34" s="19" t="n"/>
      <c r="D34" s="19" t="n"/>
      <c r="E34" s="19" t="n"/>
      <c r="F34" s="19" t="n"/>
      <c r="G34" s="19" t="n"/>
      <c r="H34" s="19" t="n"/>
    </row>
    <row r="35">
      <c r="A35" s="9" t="inlineStr">
        <is>
          <t>2000</t>
        </is>
      </c>
      <c r="B35" s="9" t="inlineStr">
        <is>
          <t>Accounts payable</t>
        </is>
      </c>
      <c r="C35" s="10" t="n">
        <v>-2906037.23</v>
      </c>
      <c r="D35" s="10" t="n">
        <v>-2679158.85</v>
      </c>
      <c r="E35" s="10">
        <f>C35-D35</f>
        <v/>
      </c>
      <c r="G35" s="9" t="inlineStr">
        <is>
          <t>Current</t>
        </is>
      </c>
      <c r="H35" s="26" t="inlineStr">
        <is>
          <t>Settles or converts within twelve months</t>
        </is>
      </c>
    </row>
    <row r="36">
      <c r="A36" s="9" t="inlineStr">
        <is>
          <t>2010</t>
        </is>
      </c>
      <c r="B36" s="9" t="inlineStr">
        <is>
          <t>Accrued expenses</t>
        </is>
      </c>
      <c r="C36" s="10" t="n">
        <v>-359161.67</v>
      </c>
      <c r="D36" s="10" t="n">
        <v>-298911.75</v>
      </c>
      <c r="E36" s="10">
        <f>C36-D36</f>
        <v/>
      </c>
      <c r="G36" s="9" t="inlineStr">
        <is>
          <t>Current</t>
        </is>
      </c>
      <c r="H36" s="26" t="inlineStr">
        <is>
          <t>Settles or converts within twelve months</t>
        </is>
      </c>
    </row>
    <row r="37">
      <c r="A37" s="9" t="inlineStr">
        <is>
          <t>2020</t>
        </is>
      </c>
      <c r="B37" s="9" t="inlineStr">
        <is>
          <t>Accrued compensation</t>
        </is>
      </c>
      <c r="C37" s="10" t="n">
        <v>-193204.71</v>
      </c>
      <c r="D37" s="10" t="n">
        <v>-189522.4</v>
      </c>
      <c r="E37" s="10">
        <f>C37-D37</f>
        <v/>
      </c>
      <c r="G37" s="9" t="inlineStr">
        <is>
          <t>Current</t>
        </is>
      </c>
      <c r="H37" s="26" t="inlineStr">
        <is>
          <t>Settles or converts within twelve months</t>
        </is>
      </c>
    </row>
    <row r="38">
      <c r="A38" s="9" t="inlineStr">
        <is>
          <t>2030</t>
        </is>
      </c>
      <c r="B38" s="9" t="inlineStr">
        <is>
          <t>Accrued bonus</t>
        </is>
      </c>
      <c r="C38" s="10" t="n">
        <v>-1216170.4</v>
      </c>
      <c r="D38" s="10" t="n">
        <v>-1116656.68</v>
      </c>
      <c r="E38" s="10">
        <f>C38-D38</f>
        <v/>
      </c>
      <c r="G38" s="9" t="inlineStr">
        <is>
          <t>Current</t>
        </is>
      </c>
      <c r="H38" s="26" t="inlineStr">
        <is>
          <t>Settles or converts within twelve months</t>
        </is>
      </c>
    </row>
    <row r="39">
      <c r="A39" s="9" t="inlineStr">
        <is>
          <t>2040</t>
        </is>
      </c>
      <c r="B39" s="9" t="inlineStr">
        <is>
          <t>Accrued commissions</t>
        </is>
      </c>
      <c r="C39" s="10" t="n">
        <v>-77334.23</v>
      </c>
      <c r="D39" s="10" t="n">
        <v>-22041.91</v>
      </c>
      <c r="E39" s="10">
        <f>C39-D39</f>
        <v/>
      </c>
      <c r="G39" s="9" t="inlineStr">
        <is>
          <t>Current</t>
        </is>
      </c>
      <c r="H39" s="26" t="inlineStr">
        <is>
          <t>Settles or converts within twelve months</t>
        </is>
      </c>
    </row>
    <row r="40">
      <c r="A40" s="9" t="inlineStr">
        <is>
          <t>2050</t>
        </is>
      </c>
      <c r="B40" s="9" t="inlineStr">
        <is>
          <t>Accrued PTO</t>
        </is>
      </c>
      <c r="C40" s="10" t="n">
        <v>-499990</v>
      </c>
      <c r="D40" s="10" t="n">
        <v>-492980</v>
      </c>
      <c r="E40" s="10">
        <f>C40-D40</f>
        <v/>
      </c>
      <c r="G40" s="9" t="inlineStr">
        <is>
          <t>Current</t>
        </is>
      </c>
      <c r="H40" s="26" t="inlineStr">
        <is>
          <t>Settles or converts within twelve months</t>
        </is>
      </c>
    </row>
    <row r="41">
      <c r="A41" s="9" t="inlineStr">
        <is>
          <t>2070</t>
        </is>
      </c>
      <c r="B41" s="9" t="inlineStr">
        <is>
          <t>Sales tax payable</t>
        </is>
      </c>
      <c r="C41" s="10" t="n">
        <v>-62000</v>
      </c>
      <c r="D41" s="10" t="n">
        <v>-62000</v>
      </c>
      <c r="E41" s="10">
        <f>C41-D41</f>
        <v/>
      </c>
      <c r="G41" s="9" t="inlineStr">
        <is>
          <t>Current</t>
        </is>
      </c>
      <c r="H41" s="26" t="inlineStr">
        <is>
          <t>Settles or converts within twelve months</t>
        </is>
      </c>
    </row>
    <row r="42">
      <c r="A42" s="9" t="inlineStr">
        <is>
          <t>2080</t>
        </is>
      </c>
      <c r="B42" s="9" t="inlineStr">
        <is>
          <t>Payroll liabilities</t>
        </is>
      </c>
      <c r="C42" s="10" t="n">
        <v>-110402.69</v>
      </c>
      <c r="D42" s="10" t="n">
        <v>-108298.51</v>
      </c>
      <c r="E42" s="10">
        <f>C42-D42</f>
        <v/>
      </c>
      <c r="G42" s="9" t="inlineStr">
        <is>
          <t>Current</t>
        </is>
      </c>
      <c r="H42" s="26" t="inlineStr">
        <is>
          <t>Settles or converts within twelve months</t>
        </is>
      </c>
    </row>
    <row r="43">
      <c r="A43" s="9" t="inlineStr">
        <is>
          <t>2100</t>
        </is>
      </c>
      <c r="B43" s="9" t="inlineStr">
        <is>
          <t>Deferred revenue - current</t>
        </is>
      </c>
      <c r="C43" s="10" t="n">
        <v>-7407107.03</v>
      </c>
      <c r="D43" s="10" t="n">
        <v>-6296719.14</v>
      </c>
      <c r="E43" s="10">
        <f>C43-D43</f>
        <v/>
      </c>
      <c r="G43" s="9" t="inlineStr">
        <is>
          <t>Current</t>
        </is>
      </c>
      <c r="H43" s="26" t="inlineStr">
        <is>
          <t>Settles or converts within twelve months</t>
        </is>
      </c>
    </row>
    <row r="44">
      <c r="A44" s="9" t="inlineStr">
        <is>
          <t>2200</t>
        </is>
      </c>
      <c r="B44" s="9" t="inlineStr">
        <is>
          <t>Operating lease liability - current</t>
        </is>
      </c>
      <c r="C44" s="10" t="n">
        <v>-130000</v>
      </c>
      <c r="D44" s="10" t="n">
        <v>-160000</v>
      </c>
      <c r="E44" s="10">
        <f>C44-D44</f>
        <v/>
      </c>
      <c r="G44" s="9" t="inlineStr">
        <is>
          <t>Current</t>
        </is>
      </c>
      <c r="H44" s="26" t="inlineStr">
        <is>
          <t>Settles or converts within twelve months</t>
        </is>
      </c>
    </row>
    <row r="45">
      <c r="A45" s="9" t="inlineStr">
        <is>
          <t>2300</t>
        </is>
      </c>
      <c r="B45" s="9" t="inlineStr">
        <is>
          <t>Intercompany payable - ARC-US</t>
        </is>
      </c>
      <c r="C45" s="10" t="n">
        <v>-1190990.13</v>
      </c>
      <c r="D45" s="10" t="n">
        <v>-1087487.61</v>
      </c>
      <c r="E45" s="10">
        <f>C45-D45</f>
        <v/>
      </c>
      <c r="G45" s="9" t="inlineStr">
        <is>
          <t>Current</t>
        </is>
      </c>
      <c r="H45" s="26" t="inlineStr">
        <is>
          <t>Settles or converts within twelve months</t>
        </is>
      </c>
    </row>
    <row r="46">
      <c r="A46" s="9" t="inlineStr">
        <is>
          <t>2400</t>
        </is>
      </c>
      <c r="B46" s="9" t="inlineStr">
        <is>
          <t>Other current liabilities</t>
        </is>
      </c>
      <c r="C46" s="10" t="n">
        <v>-147000</v>
      </c>
      <c r="D46" s="10" t="n">
        <v>-143000</v>
      </c>
      <c r="E46" s="10">
        <f>C46-D46</f>
        <v/>
      </c>
      <c r="G46" s="9" t="inlineStr">
        <is>
          <t>Current</t>
        </is>
      </c>
      <c r="H46" s="26" t="inlineStr">
        <is>
          <t>Settles or converts within twelve months</t>
        </is>
      </c>
    </row>
    <row r="47">
      <c r="A47" s="12" t="n"/>
      <c r="B47" s="13" t="inlineStr">
        <is>
          <t>Total current liabilities</t>
        </is>
      </c>
      <c r="C47" s="14">
        <f>SUM(C35:C46)</f>
        <v/>
      </c>
      <c r="D47" s="14">
        <f>SUM(D35:D46)</f>
        <v/>
      </c>
      <c r="E47" s="14">
        <f>C47-D47</f>
        <v/>
      </c>
      <c r="F47" s="12" t="n"/>
      <c r="G47" s="12" t="n"/>
      <c r="H47" s="12" t="n"/>
    </row>
    <row r="49">
      <c r="A49" s="19" t="inlineStr">
        <is>
          <t>Non-current liabilities</t>
        </is>
      </c>
      <c r="B49" s="19" t="n"/>
      <c r="C49" s="19" t="n"/>
      <c r="D49" s="19" t="n"/>
      <c r="E49" s="19" t="n"/>
      <c r="F49" s="19" t="n"/>
      <c r="G49" s="19" t="n"/>
      <c r="H49" s="19" t="n"/>
    </row>
    <row r="50">
      <c r="A50" s="9" t="inlineStr">
        <is>
          <t>2110</t>
        </is>
      </c>
      <c r="B50" s="9" t="inlineStr">
        <is>
          <t>Deferred revenue - non-current</t>
        </is>
      </c>
      <c r="C50" s="10" t="n">
        <v>-385000</v>
      </c>
      <c r="D50" s="10" t="n">
        <v>-385000</v>
      </c>
      <c r="E50" s="10">
        <f>C50-D50</f>
        <v/>
      </c>
      <c r="G50" s="9" t="inlineStr">
        <is>
          <t>Non-current</t>
        </is>
      </c>
      <c r="H50" s="26" t="inlineStr">
        <is>
          <t>Deferred revenue beyond twelve months</t>
        </is>
      </c>
    </row>
    <row r="51">
      <c r="A51" s="9" t="inlineStr">
        <is>
          <t>2210</t>
        </is>
      </c>
      <c r="B51" s="9" t="inlineStr">
        <is>
          <t>Operating lease liability - non-current</t>
        </is>
      </c>
      <c r="C51" s="10" t="n">
        <v>-1030500</v>
      </c>
      <c r="D51" s="10" t="n">
        <v>-1042000</v>
      </c>
      <c r="E51" s="10">
        <f>C51-D51</f>
        <v/>
      </c>
      <c r="G51" s="9" t="inlineStr">
        <is>
          <t>Non-current</t>
        </is>
      </c>
      <c r="H51" s="26" t="inlineStr">
        <is>
          <t>Operating lease liability beyond twelve months</t>
        </is>
      </c>
    </row>
    <row r="52">
      <c r="A52" s="12" t="n"/>
      <c r="B52" s="13" t="inlineStr">
        <is>
          <t>Total non-current liabilities</t>
        </is>
      </c>
      <c r="C52" s="14">
        <f>SUM(C50:C51)</f>
        <v/>
      </c>
      <c r="D52" s="14">
        <f>SUM(D50:D51)</f>
        <v/>
      </c>
      <c r="E52" s="14">
        <f>C52-D52</f>
        <v/>
      </c>
      <c r="F52" s="12" t="n"/>
      <c r="G52" s="12" t="n"/>
      <c r="H52" s="12" t="n"/>
    </row>
    <row r="54">
      <c r="A54" s="19" t="inlineStr">
        <is>
          <t>Equity</t>
        </is>
      </c>
      <c r="B54" s="19" t="n"/>
      <c r="C54" s="19" t="n"/>
      <c r="D54" s="19" t="n"/>
      <c r="E54" s="19" t="n"/>
      <c r="F54" s="19" t="n"/>
      <c r="G54" s="19" t="n"/>
      <c r="H54" s="19" t="n"/>
    </row>
    <row r="55">
      <c r="A55" s="9" t="inlineStr">
        <is>
          <t>3000</t>
        </is>
      </c>
      <c r="B55" s="9" t="inlineStr">
        <is>
          <t>Common stock</t>
        </is>
      </c>
      <c r="C55" s="10" t="n">
        <v>-12000</v>
      </c>
      <c r="D55" s="10" t="n">
        <v>-12000</v>
      </c>
      <c r="E55" s="10">
        <f>C55-D55</f>
        <v/>
      </c>
      <c r="G55" s="9" t="inlineStr">
        <is>
          <t>Current</t>
        </is>
      </c>
      <c r="H55" s="26" t="inlineStr">
        <is>
          <t>Settles or converts within twelve months</t>
        </is>
      </c>
    </row>
    <row r="56">
      <c r="A56" s="9" t="inlineStr">
        <is>
          <t>3010</t>
        </is>
      </c>
      <c r="B56" s="9" t="inlineStr">
        <is>
          <t>Additional paid-in capital</t>
        </is>
      </c>
      <c r="C56" s="10" t="n">
        <v>-6277999.96</v>
      </c>
      <c r="D56" s="10" t="n">
        <v>-6079999.96</v>
      </c>
      <c r="E56" s="10">
        <f>C56-D56</f>
        <v/>
      </c>
      <c r="G56" s="9" t="inlineStr">
        <is>
          <t>Current</t>
        </is>
      </c>
      <c r="H56" s="26" t="inlineStr">
        <is>
          <t>Settles or converts within twelve months</t>
        </is>
      </c>
    </row>
    <row r="57">
      <c r="A57" s="9" t="inlineStr">
        <is>
          <t>3020</t>
        </is>
      </c>
      <c r="B57" s="9" t="inlineStr">
        <is>
          <t>Preferred stock - Series Seed/A</t>
        </is>
      </c>
      <c r="C57" s="10" t="n">
        <v>-18600000</v>
      </c>
      <c r="D57" s="10" t="n">
        <v>-18600000</v>
      </c>
      <c r="E57" s="10">
        <f>C57-D57</f>
        <v/>
      </c>
      <c r="G57" s="9" t="inlineStr">
        <is>
          <t>Current</t>
        </is>
      </c>
      <c r="H57" s="26" t="inlineStr">
        <is>
          <t>Settles or converts within twelve months</t>
        </is>
      </c>
    </row>
    <row r="58">
      <c r="A58" s="9" t="inlineStr">
        <is>
          <t>3030</t>
        </is>
      </c>
      <c r="B58" s="9" t="inlineStr">
        <is>
          <t>Preferred stock - Series B</t>
        </is>
      </c>
      <c r="C58" s="10" t="n">
        <v>-24000000</v>
      </c>
      <c r="D58" s="10" t="n">
        <v>-24000000</v>
      </c>
      <c r="E58" s="10">
        <f>C58-D58</f>
        <v/>
      </c>
      <c r="G58" s="9" t="inlineStr">
        <is>
          <t>Current</t>
        </is>
      </c>
      <c r="H58" s="26" t="inlineStr">
        <is>
          <t>Settles or converts within twelve months</t>
        </is>
      </c>
    </row>
    <row r="59">
      <c r="A59" s="9" t="inlineStr">
        <is>
          <t>3100</t>
        </is>
      </c>
      <c r="B59" s="9" t="inlineStr">
        <is>
          <t>Accumulated deficit</t>
        </is>
      </c>
      <c r="C59" s="10" t="n">
        <v>29394117.16</v>
      </c>
      <c r="D59" s="10" t="n">
        <v>28358442.44</v>
      </c>
      <c r="E59" s="10">
        <f>C59-D59</f>
        <v/>
      </c>
      <c r="G59" s="9" t="inlineStr">
        <is>
          <t>Current</t>
        </is>
      </c>
      <c r="H59" s="26" t="inlineStr">
        <is>
          <t>Settles or converts within twelve months</t>
        </is>
      </c>
    </row>
    <row r="60">
      <c r="A60" s="12" t="n"/>
      <c r="B60" s="13" t="inlineStr">
        <is>
          <t>Total equity</t>
        </is>
      </c>
      <c r="C60" s="14">
        <f>SUM(C55:C59)</f>
        <v/>
      </c>
      <c r="D60" s="14">
        <f>SUM(D55:D59)</f>
        <v/>
      </c>
      <c r="E60" s="14">
        <f>C60-D60</f>
        <v/>
      </c>
      <c r="F60" s="12" t="n"/>
      <c r="G60" s="12" t="n"/>
      <c r="H60" s="12" t="n"/>
    </row>
    <row r="62">
      <c r="B62" s="23" t="inlineStr">
        <is>
          <t>TOTAL ASSETS</t>
        </is>
      </c>
      <c r="C62" s="24">
        <f>C21+C32</f>
        <v/>
      </c>
      <c r="D62" s="24">
        <f>D21+D32</f>
        <v/>
      </c>
      <c r="E62" s="24">
        <f>C62-D62</f>
        <v/>
      </c>
    </row>
    <row r="63">
      <c r="B63" s="23" t="inlineStr">
        <is>
          <t>TOTAL LIABILITIES AND EQUITY</t>
        </is>
      </c>
      <c r="C63" s="24">
        <f>C47+C52+C60</f>
        <v/>
      </c>
      <c r="D63" s="24">
        <f>D47+D52+D60</f>
        <v/>
      </c>
      <c r="E63" s="24">
        <f>C63-D63</f>
        <v/>
      </c>
    </row>
    <row r="64">
      <c r="B64" s="6" t="inlineStr">
        <is>
          <t>Check - must be nil</t>
        </is>
      </c>
      <c r="C64" s="7">
        <f>C62+C63</f>
        <v/>
      </c>
      <c r="D64" s="7">
        <f>D62+D63</f>
        <v/>
      </c>
      <c r="H64" s="28" t="inlineStr">
        <is>
          <t>Liabilities and equity carry credit balances, so the two subtotals SUM to nil</t>
        </is>
      </c>
    </row>
    <row r="67">
      <c r="A67" s="19" t="inlineStr">
        <is>
          <t>WORKING CAPITAL AND LIQUIDITY</t>
        </is>
      </c>
      <c r="B67" s="19" t="n"/>
      <c r="C67" s="19" t="n"/>
      <c r="D67" s="19" t="n"/>
      <c r="E67" s="19" t="n"/>
      <c r="F67" s="19" t="n"/>
      <c r="G67" s="19" t="n"/>
      <c r="H67" s="19" t="n"/>
    </row>
    <row r="68">
      <c r="A68" s="16" t="inlineStr">
        <is>
          <t>A day-count ratio is a DEFINITION before it is a number, and two finance teams answer these differently. Each definition is stated beside its number rather than left to be reverse-engineered from it.</t>
        </is>
      </c>
    </row>
    <row r="69" ht="24" customHeight="1">
      <c r="A69" s="4" t="inlineStr"/>
      <c r="B69" s="5" t="inlineStr">
        <is>
          <t>Ratio</t>
        </is>
      </c>
      <c r="C69" s="5" t="inlineStr">
        <is>
          <t>31 Jan 2026</t>
        </is>
      </c>
      <c r="D69" s="5" t="inlineStr">
        <is>
          <t>31 Dec 2025</t>
        </is>
      </c>
      <c r="E69" s="5" t="inlineStr">
        <is>
          <t>Move</t>
        </is>
      </c>
      <c r="F69" s="4" t="inlineStr"/>
      <c r="G69" s="4" t="inlineStr"/>
      <c r="H69" s="5" t="inlineStr">
        <is>
          <t>Definition, and the judgement in it</t>
        </is>
      </c>
    </row>
    <row r="70">
      <c r="B70" s="9" t="inlineStr">
        <is>
          <t>DSO - trade receivable</t>
        </is>
      </c>
      <c r="C70" s="31">
        <f>IF('P&amp;L by FSLI'!C47=0,"",C11/'P&amp;L by FSLI'!C47*'P&amp;L by FSLI'!C49)</f>
        <v/>
      </c>
      <c r="D70" s="31">
        <f>IF('P&amp;L by FSLI'!G47=0,"",D11/'P&amp;L by FSLI'!G47*'P&amp;L by FSLI'!G49)</f>
        <v/>
      </c>
      <c r="E70" s="31">
        <f>C70-D70</f>
        <v/>
      </c>
      <c r="H70" s="26" t="inlineStr">
        <is>
          <t>Trade receivable only. This is a COLLECTION number; adding unbilled usage measures a billing-cycle effect instead, and mixing them hides which one is moving.</t>
        </is>
      </c>
    </row>
    <row r="71">
      <c r="B71" s="9" t="inlineStr">
        <is>
          <t>DSO - including unbilled</t>
        </is>
      </c>
      <c r="C71" s="31">
        <f>IF('P&amp;L by FSLI'!C47=0,"",(C11+C13)/'P&amp;L by FSLI'!C47*'P&amp;L by FSLI'!C49)</f>
        <v/>
      </c>
      <c r="D71" s="31">
        <f>IF('P&amp;L by FSLI'!G47=0,"",(D11+D13)/'P&amp;L by FSLI'!G47*'P&amp;L by FSLI'!G49)</f>
        <v/>
      </c>
      <c r="E71" s="31">
        <f>C71-D71</f>
        <v/>
      </c>
      <c r="H71" s="26" t="inlineStr">
        <is>
          <t>Adds the contract asset. Shown separately, never instead.</t>
        </is>
      </c>
    </row>
    <row r="72">
      <c r="B72" s="9" t="inlineStr">
        <is>
          <t>DPO</t>
        </is>
      </c>
      <c r="C72" s="31">
        <f>IF('P&amp;L by FSLI'!C48=0,"",-(C35+C36)/'P&amp;L by FSLI'!C48*'P&amp;L by FSLI'!C49)</f>
        <v/>
      </c>
      <c r="D72" s="31">
        <f>IF('P&amp;L by FSLI'!G48=0,"",-(D35+D36)/'P&amp;L by FSLI'!G48*'P&amp;L by FSLI'!G49)</f>
        <v/>
      </c>
      <c r="E72" s="31">
        <f>C72-D72</f>
        <v/>
      </c>
      <c r="H72" s="26" t="inlineStr">
        <is>
          <t>Accounts payable and accrued expenses over cash operating spend. Accrued PAYROLL is deliberately excluded - payroll is not trade credit, and leaving it in makes a company look like it is stretching suppliers when it is only mid-cycle on salaries.</t>
        </is>
      </c>
    </row>
    <row r="73">
      <c r="B73" s="9" t="inlineStr">
        <is>
          <t>Current ratio</t>
        </is>
      </c>
      <c r="C73" s="32">
        <f>IF(C47=0,"",C21/-C47)</f>
        <v/>
      </c>
      <c r="D73" s="32">
        <f>IF(D47=0,"",D21/-D47)</f>
        <v/>
      </c>
      <c r="E73" s="32">
        <f>C73-D73</f>
        <v/>
      </c>
      <c r="H73" s="26" t="inlineStr">
        <is>
          <t>Built over the two subtotals above, not a hand-listed SUM.</t>
        </is>
      </c>
    </row>
    <row r="74">
      <c r="B74" s="9" t="inlineStr">
        <is>
          <t>Quick ratio</t>
        </is>
      </c>
      <c r="C74" s="32">
        <f>IF(C47=0,"",(C7+C9+C11+C13)/-C47)</f>
        <v/>
      </c>
      <c r="D74" s="32">
        <f>IF(D47=0,"",(D7+D9+D11+D13)/-D47)</f>
        <v/>
      </c>
      <c r="E74" s="32">
        <f>C74-D74</f>
        <v/>
      </c>
      <c r="H74" s="26" t="inlineStr">
        <is>
          <t>Cash, treasury and receivables over current liabilities. Never above the current ratio.</t>
        </is>
      </c>
    </row>
    <row r="75">
      <c r="B75" s="9" t="inlineStr">
        <is>
          <t>Net working capital</t>
        </is>
      </c>
      <c r="C75" s="10">
        <f>C21+C47</f>
        <v/>
      </c>
      <c r="D75" s="10">
        <f>D21+D47</f>
        <v/>
      </c>
      <c r="E75" s="10">
        <f>C75-D75</f>
        <v/>
      </c>
      <c r="H75" s="26" t="inlineStr">
        <is>
          <t>Current assets less current liabilities.</t>
        </is>
      </c>
    </row>
    <row r="76">
      <c r="B76" s="9" t="inlineStr">
        <is>
          <t>Deferred revenue - months of revenue</t>
        </is>
      </c>
      <c r="C76" s="32">
        <f>IF('P&amp;L by FSLI'!C47=0,"",-C43/'P&amp;L by FSLI'!C47)</f>
        <v/>
      </c>
      <c r="D76" s="32">
        <f>IF('P&amp;L by FSLI'!G47=0,"",-D43/'P&amp;L by FSLI'!G47)</f>
        <v/>
      </c>
      <c r="E76" s="32">
        <f>C76-D76</f>
        <v/>
      </c>
      <c r="H76" s="26" t="inlineStr">
        <is>
          <t>Current deferred revenue over the month's revenue.</t>
        </is>
      </c>
    </row>
  </sheetData>
  <mergeCells count="1">
    <mergeCell ref="A68:H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1" customWidth="1" min="1" max="1"/>
    <col width="50" customWidth="1" min="2" max="2"/>
    <col width="18" customWidth="1" min="3" max="3"/>
    <col width="18" customWidth="1" min="4" max="4"/>
    <col width="3" customWidth="1" min="5" max="5"/>
    <col width="62" customWidth="1" min="6" max="6"/>
  </cols>
  <sheetData>
    <row r="1">
      <c r="A1" s="1" t="inlineStr">
        <is>
          <t>Cash - January 2026</t>
        </is>
      </c>
    </row>
    <row r="2">
      <c r="A2" s="2" t="inlineStr">
        <is>
          <t>The indirect walk, built as a partition of every non-cash account.</t>
        </is>
      </c>
    </row>
    <row r="3">
      <c r="A3" s="3" t="inlineStr">
        <is>
          <t>Double entry says the cash movement equals minus the movement of everything else. Enumerating every account rather than the items somebody remembered is what makes the walk reach the ledger with nothing left over - and what makes a forgotten account announce itself instead of disappearing into a plug.</t>
        </is>
      </c>
    </row>
    <row r="5" ht="24" customHeight="1">
      <c r="A5" s="4" t="inlineStr"/>
      <c r="B5" s="5" t="inlineStr">
        <is>
          <t>Line</t>
        </is>
      </c>
      <c r="C5" s="5" t="inlineStr">
        <is>
          <t>January 2026</t>
        </is>
      </c>
      <c r="D5" s="5" t="inlineStr">
        <is>
          <t>December 2025</t>
        </is>
      </c>
      <c r="E5" s="4" t="inlineStr"/>
      <c r="F5" s="5" t="inlineStr">
        <is>
          <t>Note</t>
        </is>
      </c>
    </row>
    <row r="6">
      <c r="B6" s="9" t="inlineStr">
        <is>
          <t>Net result</t>
        </is>
      </c>
      <c r="C6" s="10" t="n">
        <v>-1035674.72</v>
      </c>
      <c r="D6" s="10" t="n">
        <v>-676704.15</v>
      </c>
      <c r="F6" s="26" t="inlineStr">
        <is>
          <t>Ties to the P&amp;L's net result - a verified check</t>
        </is>
      </c>
    </row>
    <row r="7">
      <c r="B7" s="9" t="inlineStr">
        <is>
          <t>Add back stock comp</t>
        </is>
      </c>
      <c r="C7" s="10" t="n">
        <v>198000</v>
      </c>
      <c r="D7" s="10" t="n">
        <v>158333.33</v>
      </c>
      <c r="F7" s="26" t="inlineStr">
        <is>
          <t>The credit is to APIC, which is why it is not an equity raise below</t>
        </is>
      </c>
    </row>
    <row r="8">
      <c r="B8" s="9" t="inlineStr">
        <is>
          <t>Add back depreciation and amortization</t>
        </is>
      </c>
      <c r="C8" s="10" t="n">
        <v>62214.23</v>
      </c>
      <c r="D8" s="10" t="n">
        <v>61974.23</v>
      </c>
      <c r="F8" s="26" t="inlineStr">
        <is>
          <t>Taken from the movement on accumulated depreciation - the add-back and that movement are the SAME entry and cannot be counted twice</t>
        </is>
      </c>
    </row>
    <row r="9">
      <c r="B9" s="9" t="inlineStr">
        <is>
          <t>Add back credit loss provision</t>
        </is>
      </c>
      <c r="C9" s="10" t="n">
        <v>4720</v>
      </c>
      <c r="D9" s="10" t="n">
        <v>6040</v>
      </c>
      <c r="F9" s="26" t="inlineStr">
        <is>
          <t>Non-cash; the allowance sits against receivables</t>
        </is>
      </c>
    </row>
    <row r="10">
      <c r="B10" s="9" t="inlineStr">
        <is>
          <t>Working capital and all other non-cash movement</t>
        </is>
      </c>
      <c r="C10" s="10" t="n">
        <v>-229289.99</v>
      </c>
      <c r="D10" s="10" t="n">
        <v>131953.93</v>
      </c>
      <c r="F10" s="26" t="inlineStr">
        <is>
          <t>Every remaining non-cash account, enumerated - not a list</t>
        </is>
      </c>
    </row>
    <row r="11">
      <c r="A11" s="12" t="n"/>
      <c r="B11" s="13" t="inlineStr">
        <is>
          <t>Cash from operations</t>
        </is>
      </c>
      <c r="C11" s="14">
        <f>SUM(C6:C10)</f>
        <v/>
      </c>
      <c r="D11" s="14">
        <f>SUM(D6:D10)</f>
        <v/>
      </c>
      <c r="E11" s="12" t="n"/>
      <c r="F11" s="27" t="inlineStr">
        <is>
          <t>Footed from the lines above</t>
        </is>
      </c>
    </row>
    <row r="12">
      <c r="B12" s="9" t="inlineStr">
        <is>
          <t>Investing - capital expenditure and deposits</t>
        </is>
      </c>
      <c r="C12" s="10" t="n">
        <v>-75291.27</v>
      </c>
      <c r="D12" s="10" t="n">
        <v>-78313.24000000001</v>
      </c>
      <c r="F12" s="26" t="inlineStr">
        <is>
          <t>Movement on gross fixed assets, capitalized software and security deposits</t>
        </is>
      </c>
    </row>
    <row r="13">
      <c r="B13" s="9" t="inlineStr">
        <is>
          <t>Financing</t>
        </is>
      </c>
      <c r="C13" s="10" t="n">
        <v>0</v>
      </c>
      <c r="D13" s="10" t="n">
        <v>0</v>
      </c>
      <c r="F13" s="26" t="inlineStr">
        <is>
          <t>Equity movement LESS the result and the stock comp credit - what is left is a raise, and nil here means there was not one</t>
        </is>
      </c>
    </row>
    <row r="14">
      <c r="B14" s="23" t="inlineStr">
        <is>
          <t>NET CASH MOVEMENT</t>
        </is>
      </c>
      <c r="C14" s="24">
        <f>C11+C12+C13</f>
        <v/>
      </c>
      <c r="D14" s="24">
        <f>D11+D12+D13</f>
        <v/>
      </c>
    </row>
    <row r="16">
      <c r="B16" s="9" t="inlineStr">
        <is>
          <t>Opening cash</t>
        </is>
      </c>
      <c r="C16" s="10" t="n">
        <v>24861061.73</v>
      </c>
      <c r="D16" s="10" t="n">
        <v>25257777.63</v>
      </c>
    </row>
    <row r="17">
      <c r="B17" s="6" t="inlineStr">
        <is>
          <t>Closing cash, per the walk</t>
        </is>
      </c>
      <c r="C17" s="7">
        <f>C16+C14</f>
        <v/>
      </c>
      <c r="D17" s="7">
        <f>D16+D14</f>
        <v/>
      </c>
    </row>
    <row r="18">
      <c r="B18" s="9" t="inlineStr">
        <is>
          <t>Closing cash, per the balance sheet</t>
        </is>
      </c>
      <c r="C18" s="10">
        <f>'Balance sheet'!C7+'Balance sheet'!C8+'Balance sheet'!C9+'Balance sheet'!C10</f>
        <v/>
      </c>
      <c r="D18" s="10">
        <f>'Balance sheet'!D7+'Balance sheet'!D8+'Balance sheet'!D9+'Balance sheet'!D10</f>
        <v/>
      </c>
      <c r="F18" s="26" t="inlineStr">
        <is>
          <t>The ledger cash accounts, referenced - not restated</t>
        </is>
      </c>
    </row>
    <row r="19">
      <c r="B19" s="6" t="inlineStr">
        <is>
          <t>Difference - must be nil</t>
        </is>
      </c>
      <c r="C19" s="7">
        <f>C17-C18</f>
        <v/>
      </c>
      <c r="D19" s="7">
        <f>D17-D18</f>
        <v/>
      </c>
      <c r="F19" s="28" t="inlineStr">
        <is>
          <t>A partition cannot leave a residual. If this is not nil, an account is in no bucket.</t>
        </is>
      </c>
    </row>
    <row r="22">
      <c r="A22" s="19" t="inlineStr">
        <is>
          <t>BURN AND RUNWAY</t>
        </is>
      </c>
      <c r="B22" s="19" t="n"/>
      <c r="C22" s="19" t="n"/>
      <c r="D22" s="19" t="n"/>
      <c r="E22" s="19" t="n"/>
      <c r="F22" s="19" t="n"/>
    </row>
    <row r="23">
      <c r="A23" s="16" t="inlineStr">
        <is>
          <t>Runway is the one measure a single month cannot carry, so it runs on a three-month window. The condition is IN THE FORMULA, not in a footnote: only months that CONSUMED cash count, because averaging in a month that raised money flatters the answer.</t>
        </is>
      </c>
    </row>
    <row r="24" ht="24" customHeight="1">
      <c r="A24" s="4" t="inlineStr"/>
      <c r="B24" s="5" t="inlineStr">
        <is>
          <t>Line</t>
        </is>
      </c>
      <c r="C24" s="5" t="inlineStr">
        <is>
          <t>January 2026</t>
        </is>
      </c>
      <c r="D24" s="5" t="inlineStr">
        <is>
          <t>December 2025</t>
        </is>
      </c>
      <c r="E24" s="4" t="inlineStr"/>
      <c r="F24" s="5" t="inlineStr">
        <is>
          <t>Note</t>
        </is>
      </c>
    </row>
    <row r="25">
      <c r="B25" s="9" t="inlineStr">
        <is>
          <t>Free cash flow, 2025-10</t>
        </is>
      </c>
      <c r="C25" s="10" t="n">
        <v>-381547</v>
      </c>
      <c r="F25" s="26" t="inlineStr">
        <is>
          <t>Cash from operations plus investing</t>
        </is>
      </c>
    </row>
    <row r="26">
      <c r="B26" s="9" t="inlineStr">
        <is>
          <t>Free cash flow, 2025-11</t>
        </is>
      </c>
      <c r="C26" s="10" t="n">
        <v>-552080.77</v>
      </c>
      <c r="F26" s="26" t="inlineStr">
        <is>
          <t>Cash from operations plus investing</t>
        </is>
      </c>
    </row>
    <row r="27">
      <c r="B27" s="9" t="inlineStr">
        <is>
          <t>Free cash flow, 2025-12</t>
        </is>
      </c>
      <c r="C27" s="10" t="n">
        <v>-396715.9</v>
      </c>
      <c r="F27" s="26" t="inlineStr">
        <is>
          <t>Cash from operations plus investing</t>
        </is>
      </c>
    </row>
    <row r="28">
      <c r="B28" s="9" t="inlineStr">
        <is>
          <t>Free cash flow, 2026-01</t>
        </is>
      </c>
      <c r="C28" s="10" t="n">
        <v>-1075321.75</v>
      </c>
      <c r="F28" s="26" t="inlineStr">
        <is>
          <t>Cash from operations plus investing</t>
        </is>
      </c>
    </row>
    <row r="29">
      <c r="B29" s="9" t="inlineStr">
        <is>
          <t>Average monthly burn - months that consumed cash only</t>
        </is>
      </c>
      <c r="C29" s="10">
        <f>IFERROR(-AVERAGEIF(C26:C28,"&lt;0"),0)</f>
        <v/>
      </c>
      <c r="D29" s="10">
        <f>IFERROR(-AVERAGEIF(C25:C27,"&lt;0"),0)</f>
        <v/>
      </c>
      <c r="F29" s="26" t="inlineStr">
        <is>
          <t>Two overlapping three-month windows, so the prior-month figure is a formula too and the overlap is visible</t>
        </is>
      </c>
    </row>
    <row r="30">
      <c r="B30" s="23" t="inlineStr">
        <is>
          <t>Runway, months</t>
        </is>
      </c>
      <c r="C30" s="33">
        <f>IFERROR(C18/C29,"")</f>
        <v/>
      </c>
      <c r="D30" s="33">
        <f>IFERROR(D18/D29,"")</f>
        <v/>
      </c>
      <c r="F30" s="34" t="inlineStr">
        <is>
          <t>Closing cash over average net burn - MET-010</t>
        </is>
      </c>
    </row>
  </sheetData>
  <mergeCells count="1">
    <mergeCell ref="A23:F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11" customWidth="1" min="1" max="1"/>
    <col width="34" customWidth="1" min="2" max="2"/>
    <col width="18" customWidth="1" min="3" max="3"/>
    <col width="14" customWidth="1" min="4" max="4"/>
    <col width="22" customWidth="1" min="5" max="5"/>
    <col width="3" customWidth="1" min="6" max="6"/>
    <col width="62" customWidth="1" min="7" max="7"/>
  </cols>
  <sheetData>
    <row r="1">
      <c r="A1" s="1" t="inlineStr">
        <is>
          <t>SaaS metrics - January 2026</t>
        </is>
      </c>
    </row>
    <row r="2">
      <c r="A2" s="2" t="inlineStr">
        <is>
          <t>The metric registry, computed at the version it was ruled, and an explicit statement of what is NOT computable and why.</t>
        </is>
      </c>
    </row>
    <row r="3">
      <c r="A3" s="3" t="inlineStr">
        <is>
          <t>A metric with no ruled definition is left blank and named. Filling it with a plausible number is how a definition gets decided by whoever built the spreadsheet.</t>
        </is>
      </c>
    </row>
    <row r="5" ht="24" customHeight="1">
      <c r="A5" s="5" t="inlineStr">
        <is>
          <t>Metric</t>
        </is>
      </c>
      <c r="B5" s="5" t="inlineStr">
        <is>
          <t>Name</t>
        </is>
      </c>
      <c r="C5" s="5" t="inlineStr">
        <is>
          <t>Value</t>
        </is>
      </c>
      <c r="D5" s="5" t="inlineStr">
        <is>
          <t>Status</t>
        </is>
      </c>
      <c r="E5" s="5" t="inlineStr">
        <is>
          <t>Owner</t>
        </is>
      </c>
      <c r="F5" s="4" t="inlineStr"/>
      <c r="G5" s="5" t="inlineStr">
        <is>
          <t>Definition, or why it is blank</t>
        </is>
      </c>
    </row>
    <row r="6">
      <c r="A6" s="9" t="inlineStr">
        <is>
          <t>MET-001</t>
        </is>
      </c>
      <c r="B6" s="9" t="inlineStr">
        <is>
          <t>Committed recurring ARR</t>
        </is>
      </c>
      <c r="C6" s="10">
        <f>'Revenue and ARR'!C23</f>
        <v/>
      </c>
      <c r="D6" s="9" t="inlineStr">
        <is>
          <t>Ruled v1.0</t>
        </is>
      </c>
      <c r="E6" s="9" t="inlineStr">
        <is>
          <t>VP Finance</t>
        </is>
      </c>
      <c r="G6" s="26" t="inlineStr">
        <is>
          <t>Contracted recurring subscription MRR x 12, at contracted price</t>
        </is>
      </c>
    </row>
    <row r="7">
      <c r="A7" s="9" t="inlineStr">
        <is>
          <t>MET-002</t>
        </is>
      </c>
      <c r="B7" s="9" t="inlineStr">
        <is>
          <t>Total revenue</t>
        </is>
      </c>
      <c r="C7" s="10">
        <f>'P&amp;L by FSLI'!C6</f>
        <v/>
      </c>
      <c r="D7" s="9" t="inlineStr">
        <is>
          <t>Ruled v1.0</t>
        </is>
      </c>
      <c r="E7" s="9" t="inlineStr">
        <is>
          <t>VP Finance</t>
        </is>
      </c>
      <c r="G7" s="26" t="inlineStr">
        <is>
          <t>Sum of accounts 4000-4090</t>
        </is>
      </c>
    </row>
    <row r="8">
      <c r="A8" s="9" t="inlineStr">
        <is>
          <t>MET-003</t>
        </is>
      </c>
      <c r="B8" s="9" t="inlineStr">
        <is>
          <t>Gross margin %</t>
        </is>
      </c>
      <c r="C8" s="11">
        <f>'P&amp;L by FSLI'!C8/'P&amp;L by FSLI'!C6</f>
        <v/>
      </c>
      <c r="D8" s="9" t="inlineStr">
        <is>
          <t>Ruled v1.0</t>
        </is>
      </c>
      <c r="E8" s="9" t="inlineStr">
        <is>
          <t>VP Finance</t>
        </is>
      </c>
      <c r="G8" s="26" t="inlineStr">
        <is>
          <t>(Total revenue - cost of revenue) / total revenue</t>
        </is>
      </c>
    </row>
    <row r="9">
      <c r="A9" s="9" t="inlineStr">
        <is>
          <t>MET-004</t>
        </is>
      </c>
      <c r="B9" s="9" t="inlineStr">
        <is>
          <t>Adjusted EBITDA</t>
        </is>
      </c>
      <c r="C9" s="10">
        <f>'P&amp;L by FSLI'!C41</f>
        <v/>
      </c>
      <c r="D9" s="9" t="inlineStr">
        <is>
          <t>Ruled v1.0</t>
        </is>
      </c>
      <c r="E9" s="9" t="inlineStr">
        <is>
          <t>VP Finance</t>
        </is>
      </c>
      <c r="G9" s="26" t="inlineStr">
        <is>
          <t>Operating result + SBC + depreciation and amortization</t>
        </is>
      </c>
    </row>
    <row r="10">
      <c r="A10" s="35" t="inlineStr">
        <is>
          <t>MET-005</t>
        </is>
      </c>
      <c r="B10" s="35" t="inlineStr">
        <is>
          <t>Net revenue retention</t>
        </is>
      </c>
      <c r="D10" s="35" t="inlineStr">
        <is>
          <t>UNRESOLVED</t>
        </is>
      </c>
      <c r="E10" s="35" t="inlineStr">
        <is>
          <t>VP Customer Success</t>
        </is>
      </c>
      <c r="G10" s="36" t="inlineStr">
        <is>
          <t>Computable from customer_mrr_changes.csv once the cohort definition is ruled</t>
        </is>
      </c>
    </row>
    <row r="11">
      <c r="A11" s="35" t="inlineStr">
        <is>
          <t>MET-006</t>
        </is>
      </c>
      <c r="B11" s="35" t="inlineStr">
        <is>
          <t>Gross revenue retention</t>
        </is>
      </c>
      <c r="D11" s="35" t="inlineStr">
        <is>
          <t>UNRESOLVED</t>
        </is>
      </c>
      <c r="E11" s="35" t="inlineStr">
        <is>
          <t>VP Customer Success</t>
        </is>
      </c>
      <c r="G11" s="36" t="inlineStr"/>
    </row>
    <row r="12">
      <c r="A12" s="9" t="inlineStr">
        <is>
          <t>MET-007</t>
        </is>
      </c>
      <c r="B12" s="9" t="inlineStr">
        <is>
          <t>Customer acquisition cost</t>
        </is>
      </c>
      <c r="D12" s="9" t="inlineStr">
        <is>
          <t>Ruled v1.0</t>
        </is>
      </c>
      <c r="E12" s="9" t="inlineStr">
        <is>
          <t>VP Marketing</t>
        </is>
      </c>
      <c r="G12" s="26" t="inlineStr">
        <is>
          <t>S&amp;M in period / new logos in period  -  not computed in this pack: needs a period comparison this single-month pack does not carry.</t>
        </is>
      </c>
    </row>
    <row r="13">
      <c r="A13" s="9" t="inlineStr">
        <is>
          <t>MET-008</t>
        </is>
      </c>
      <c r="B13" s="9" t="inlineStr">
        <is>
          <t>Magic number</t>
        </is>
      </c>
      <c r="D13" s="9" t="inlineStr">
        <is>
          <t>Ruled v1.0</t>
        </is>
      </c>
      <c r="E13" s="9" t="inlineStr">
        <is>
          <t>VP Finance</t>
        </is>
      </c>
      <c r="G13" s="26" t="inlineStr">
        <is>
          <t>4 x (revenue QoQ delta) / prior quarter S&amp;M  -  not computed in this pack: needs a period comparison this single-month pack does not carry.</t>
        </is>
      </c>
    </row>
    <row r="14">
      <c r="A14" s="9" t="inlineStr">
        <is>
          <t>MET-009</t>
        </is>
      </c>
      <c r="B14" s="9" t="inlineStr">
        <is>
          <t>Burn multiple</t>
        </is>
      </c>
      <c r="D14" s="9" t="inlineStr">
        <is>
          <t>Ruled v1.0</t>
        </is>
      </c>
      <c r="E14" s="9" t="inlineStr">
        <is>
          <t>VP Finance</t>
        </is>
      </c>
      <c r="G14" s="26" t="inlineStr">
        <is>
          <t>Net cash burn / net new ARR  -  not computed in this pack: needs a period comparison this single-month pack does not carry.</t>
        </is>
      </c>
    </row>
    <row r="15">
      <c r="A15" s="9" t="inlineStr">
        <is>
          <t>MET-010</t>
        </is>
      </c>
      <c r="B15" s="9" t="inlineStr">
        <is>
          <t>Runway, months</t>
        </is>
      </c>
      <c r="C15" s="31">
        <f>'Cash'!C30</f>
        <v/>
      </c>
      <c r="D15" s="9" t="inlineStr">
        <is>
          <t>Ruled v1.0</t>
        </is>
      </c>
      <c r="E15" s="9" t="inlineStr">
        <is>
          <t>VP Finance</t>
        </is>
      </c>
      <c r="G15" s="26" t="inlineStr">
        <is>
          <t>Closing cash / trailing three-month average net cash burn</t>
        </is>
      </c>
    </row>
    <row r="16">
      <c r="A16" s="9" t="inlineStr">
        <is>
          <t>MET-011</t>
        </is>
      </c>
      <c r="B16" s="9" t="inlineStr">
        <is>
          <t>Cost per page processed</t>
        </is>
      </c>
      <c r="C16" s="29">
        <f>'Gross margin'!F30</f>
        <v/>
      </c>
      <c r="D16" s="9" t="inlineStr">
        <is>
          <t>Ruled v1.0</t>
        </is>
      </c>
      <c r="E16" s="9" t="inlineStr">
        <is>
          <t>Head of Infrastructure</t>
        </is>
      </c>
      <c r="G16" s="26" t="inlineStr">
        <is>
          <t>Accounts 5000+5010+5020 / pages processed</t>
        </is>
      </c>
    </row>
    <row r="17">
      <c r="A17" s="9" t="inlineStr">
        <is>
          <t>MET-012</t>
        </is>
      </c>
      <c r="B17" s="9" t="inlineStr">
        <is>
          <t>Revenue per head</t>
        </is>
      </c>
      <c r="C17" s="10" t="n">
        <v>180428.49</v>
      </c>
      <c r="D17" s="9" t="inlineStr">
        <is>
          <t>Ruled v1.0</t>
        </is>
      </c>
      <c r="E17" s="9" t="inlineStr">
        <is>
          <t>VP Finance</t>
        </is>
      </c>
      <c r="G17" s="26" t="inlineStr">
        <is>
          <t>Trailing twelve month revenue / closing headcount</t>
        </is>
      </c>
    </row>
    <row r="18">
      <c r="A18" s="9" t="inlineStr">
        <is>
          <t>MET-013</t>
        </is>
      </c>
      <c r="B18" s="9" t="inlineStr">
        <is>
          <t>DSO</t>
        </is>
      </c>
      <c r="C18" s="31">
        <f>'Balance sheet'!C70</f>
        <v/>
      </c>
      <c r="D18" s="9" t="inlineStr">
        <is>
          <t>Ruled v1.0</t>
        </is>
      </c>
      <c r="E18" s="9" t="inlineStr">
        <is>
          <t>VP Finance</t>
        </is>
      </c>
      <c r="G18" s="26" t="inlineStr">
        <is>
          <t>Closing AR / revenue x days in period</t>
        </is>
      </c>
    </row>
    <row r="19">
      <c r="A19" s="9" t="inlineStr">
        <is>
          <t>MET-014</t>
        </is>
      </c>
      <c r="B19" s="9" t="inlineStr">
        <is>
          <t>Rule of 40</t>
        </is>
      </c>
      <c r="D19" s="9" t="inlineStr">
        <is>
          <t>Ruled v1.0</t>
        </is>
      </c>
      <c r="E19" s="9" t="inlineStr">
        <is>
          <t>VP Finance</t>
        </is>
      </c>
      <c r="G19" s="26" t="inlineStr">
        <is>
          <t>Revenue growth % + adjusted EBITDA margin %  -  not computed in this pack: needs a period comparison this single-month pack does not carry.</t>
        </is>
      </c>
    </row>
    <row r="20">
      <c r="A20" s="35" t="inlineStr">
        <is>
          <t>MET-015</t>
        </is>
      </c>
      <c r="B20" s="35" t="inlineStr">
        <is>
          <t>Overage capture rate</t>
        </is>
      </c>
      <c r="D20" s="35" t="inlineStr">
        <is>
          <t>UNRESOLVED</t>
        </is>
      </c>
      <c r="E20" s="35" t="inlineStr">
        <is>
          <t>Dir. RevOps</t>
        </is>
      </c>
      <c r="G20" s="36" t="inlineStr">
        <is>
          <t>Requires a ruling on whether uninvoiced overage counts as captured</t>
        </is>
      </c>
    </row>
    <row r="22">
      <c r="A22" s="16" t="inlineStr">
        <is>
          <t>Revenue per head uses trailing twelve month revenue over closing headcount (98 active). It is the one figure on this tab taken from outside the close month, and it is typed rather than referenced because no tab in this pack owns a trailing twelve month series.</t>
        </is>
      </c>
    </row>
  </sheetData>
  <mergeCells count="1">
    <mergeCell ref="A22:G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46" customWidth="1" min="1" max="1"/>
    <col width="30" customWidth="1" min="2" max="2"/>
    <col width="14" customWidth="1" min="3" max="3"/>
    <col width="13" customWidth="1" min="4" max="4"/>
    <col width="14" customWidth="1" min="5" max="5"/>
    <col width="9" customWidth="1" min="6" max="6"/>
    <col width="2.5" customWidth="1" min="7" max="7"/>
    <col width="96" customWidth="1" min="8" max="8"/>
    <col width="96" customWidth="1" min="9" max="9"/>
  </cols>
  <sheetData>
    <row r="1">
      <c r="A1" s="1" t="inlineStr">
        <is>
          <t>Arcline AI, Inc. - Q1 2026 latest best estimate</t>
        </is>
      </c>
    </row>
    <row r="2">
      <c r="A2" s="2" t="inlineStr">
        <is>
          <t>LBE_Q1_2026_M1, built on information to the January close and stamped 2026-02-06. Draft for ratification - the LBE is never a variance benchmark.</t>
        </is>
      </c>
    </row>
    <row r="3">
      <c r="A3" s="3" t="inlineStr">
        <is>
          <t>Benchmark is FY26 Plan v3 (board approved), locked 2025-12-11. Costs are shown negative; every Variance cell is that line's effect on the operating result, so the column adds down the page. LBE = Fcst + Variance on every row.</t>
        </is>
      </c>
    </row>
    <row r="4">
      <c r="A4" s="3" t="inlineStr">
        <is>
          <t>All change suggestions from the January flux analysis are ratified in this build: 43 of 63 classified lines move the forecast, 16 are absorbed by the quarter and move nothing.</t>
        </is>
      </c>
    </row>
    <row r="6" ht="24" customHeight="1">
      <c r="A6" s="4" t="inlineStr"/>
      <c r="B6" s="5" t="inlineStr">
        <is>
          <t>Owner</t>
        </is>
      </c>
      <c r="C6" s="5" t="inlineStr">
        <is>
          <t>Fcst Q1</t>
        </is>
      </c>
      <c r="D6" s="5" t="inlineStr">
        <is>
          <t>Variance</t>
        </is>
      </c>
      <c r="E6" s="5" t="inlineStr">
        <is>
          <t>LBE Q1</t>
        </is>
      </c>
      <c r="F6" s="5" t="inlineStr">
        <is>
          <t>Var %</t>
        </is>
      </c>
      <c r="G6" s="4" t="inlineStr"/>
      <c r="H6" s="5" t="inlineStr">
        <is>
          <t>Comments</t>
        </is>
      </c>
      <c r="I6" s="5" t="inlineStr">
        <is>
          <t>Traces to</t>
        </is>
      </c>
    </row>
    <row r="7">
      <c r="A7" s="19" t="inlineStr">
        <is>
          <t>REVENUE</t>
        </is>
      </c>
      <c r="B7" s="19" t="n"/>
      <c r="C7" s="19" t="n"/>
      <c r="D7" s="19" t="n"/>
      <c r="E7" s="19" t="n"/>
      <c r="F7" s="19" t="n"/>
      <c r="G7" s="19" t="n"/>
      <c r="H7" s="19" t="n"/>
      <c r="I7" s="19" t="n"/>
    </row>
    <row r="8">
      <c r="A8" s="9" t="inlineStr">
        <is>
          <t>4000 Subscription revenue - platform</t>
        </is>
      </c>
      <c r="C8" s="10" t="n">
        <v>4825129.1</v>
      </c>
      <c r="D8" s="10" t="n">
        <v>-56018.01</v>
      </c>
      <c r="E8" s="10">
        <f>C8+D8</f>
        <v/>
      </c>
      <c r="F8" s="11">
        <f>IF(C8=0,"",D8/ABS(C8))</f>
        <v/>
      </c>
      <c r="H8" s="36" t="inlineStr">
        <is>
          <t>January sticks -56,018. Net new MRR of USD 52,160 against a planned USD 70,833: 4 new logos (Tidewater Freight, Drayton Energy, Bellwether Group, Marlowe Foods, USD....</t>
        </is>
      </c>
      <c r="I8" s="36" t="inlineStr">
        <is>
          <t>Subscription revenue - platform / (customer billing): -56,018 (sticks, Run-rate)</t>
        </is>
      </c>
    </row>
    <row r="9">
      <c r="A9" s="9" t="inlineStr">
        <is>
          <t>4010 Usage revenue - overage</t>
        </is>
      </c>
      <c r="C9" s="10" t="n">
        <v>656217.5600000001</v>
      </c>
      <c r="D9" s="10" t="n">
        <v>-84144.63</v>
      </c>
      <c r="E9" s="10">
        <f>C9+D9</f>
        <v/>
      </c>
      <c r="F9" s="11">
        <f>IF(C9=0,"",D9/ABS(C9))</f>
        <v/>
      </c>
      <c r="H9" s="36" t="inlineStr">
        <is>
          <t>-84,145 materializes on the open months. Two causes.</t>
        </is>
      </c>
      <c r="I9" s="36" t="inlineStr">
        <is>
          <t>Usage revenue - overage / (customer billing): -84,145 (materializes, Timing)</t>
        </is>
      </c>
    </row>
    <row r="10">
      <c r="A10" s="9" t="inlineStr">
        <is>
          <t>4020 Professional services revenue</t>
        </is>
      </c>
      <c r="C10" s="10" t="n">
        <v>283200</v>
      </c>
      <c r="D10" s="10" t="n">
        <v>0</v>
      </c>
      <c r="E10" s="10">
        <f>C10+D10</f>
        <v/>
      </c>
      <c r="F10" s="11">
        <f>IF(C10=0,"",D10/ABS(C10))</f>
        <v/>
      </c>
      <c r="H10" s="36" t="inlineStr"/>
      <c r="I10" s="36" t="inlineStr"/>
    </row>
    <row r="11">
      <c r="A11" s="9" t="inlineStr">
        <is>
          <t>4030 Other revenue</t>
        </is>
      </c>
      <c r="C11" s="10" t="n">
        <v>24000</v>
      </c>
      <c r="D11" s="10" t="n">
        <v>5177.61</v>
      </c>
      <c r="E11" s="10">
        <f>C11+D11</f>
        <v/>
      </c>
      <c r="F11" s="11">
        <f>IF(C11=0,"",D11/ABS(C11))</f>
        <v/>
      </c>
      <c r="H11" s="36" t="inlineStr">
        <is>
          <t>January sticks +5,178. Training and certification billed USD 9,726 against a plan run rate of USD 8,000 set below the actual December level of USD 10,409.</t>
        </is>
      </c>
      <c r="I11" s="36" t="inlineStr">
        <is>
          <t>Other revenue / (customer billing): +5,178 (sticks, Run-rate)</t>
        </is>
      </c>
    </row>
    <row r="12">
      <c r="A12" s="9" t="inlineStr">
        <is>
          <t>4090 Contra revenue - credits and refunds</t>
        </is>
      </c>
      <c r="C12" s="10" t="n">
        <v>-6000</v>
      </c>
      <c r="D12" s="10" t="n">
        <v>-13141.35</v>
      </c>
      <c r="E12" s="10">
        <f>C12+D12</f>
        <v/>
      </c>
      <c r="F12" s="11">
        <f>IF(C12=0,"",D12/ABS(C12))</f>
        <v/>
      </c>
      <c r="H12" s="36" t="inlineStr">
        <is>
          <t>January sticks -13,141. SLA credits of USD 4,635 against a USD 2,000 allowance struck at 0.1% of planned revenue.</t>
        </is>
      </c>
      <c r="I12" s="36" t="inlineStr">
        <is>
          <t>Contra revenue - credits and refunds / (customer billing): -13,141 (sticks, Run-rate)</t>
        </is>
      </c>
    </row>
    <row r="13">
      <c r="A13" s="20" t="inlineStr">
        <is>
          <t>Total revenue</t>
        </is>
      </c>
      <c r="B13" s="12" t="n"/>
      <c r="C13" s="21">
        <f>SUM(C8:C12)</f>
        <v/>
      </c>
      <c r="D13" s="21">
        <f>SUM(D8:D12)</f>
        <v/>
      </c>
      <c r="E13" s="21">
        <f>C13+D13</f>
        <v/>
      </c>
      <c r="F13" s="22">
        <f>IF(C13=0,"",D13/ABS(C13))</f>
        <v/>
      </c>
      <c r="G13" s="12" t="n"/>
      <c r="H13" s="12" t="n"/>
      <c r="I13" s="12" t="n"/>
    </row>
    <row r="14">
      <c r="A14" s="19" t="inlineStr">
        <is>
          <t>COST OF REVENUE</t>
        </is>
      </c>
      <c r="B14" s="19" t="n"/>
      <c r="C14" s="19" t="n"/>
      <c r="D14" s="19" t="n"/>
      <c r="E14" s="19" t="n"/>
      <c r="F14" s="19" t="n"/>
      <c r="G14" s="19" t="n"/>
      <c r="H14" s="19" t="n"/>
      <c r="I14" s="19" t="n"/>
    </row>
    <row r="15">
      <c r="A15" s="9" t="inlineStr">
        <is>
          <t>5000 COGS - model and inference API</t>
        </is>
      </c>
      <c r="C15" s="10" t="n">
        <v>-338704.19</v>
      </c>
      <c r="D15" s="10" t="n">
        <v>-33565</v>
      </c>
      <c r="E15" s="10">
        <f>C15+D15</f>
        <v/>
      </c>
      <c r="F15" s="11">
        <f>IF(C15=0,"",D15/ABS(C15))</f>
        <v/>
      </c>
      <c r="H15" s="36" t="inlineStr">
        <is>
          <t>January sticks -33,565. Rate USD 9,113 of the USD 12,501; volume USD 3,388.</t>
        </is>
      </c>
      <c r="I15" s="36" t="inlineStr">
        <is>
          <t>COGS - model and inference API / Anthropic PBC / OpenAI, L.L.C. / Mistral AI SAS / Together Computer, Inc. (blended): -33,565 (sticks, Rate-driven)</t>
        </is>
      </c>
    </row>
    <row r="16">
      <c r="A16" s="9" t="inlineStr">
        <is>
          <t>5010 COGS - cloud hosting and storage</t>
        </is>
      </c>
      <c r="C16" s="10" t="n">
        <v>-325458.01</v>
      </c>
      <c r="D16" s="10" t="n">
        <v>3206.7</v>
      </c>
      <c r="E16" s="10">
        <f>C16+D16</f>
        <v/>
      </c>
      <c r="F16" s="11">
        <f>IF(C16=0,"",D16/ABS(C16))</f>
        <v/>
      </c>
      <c r="H16" s="36" t="inlineStr">
        <is>
          <t>January sticks +3,207. Volume cost USD 3,325; unit rate saved USD 4,394.</t>
        </is>
      </c>
      <c r="I16" s="36" t="inlineStr">
        <is>
          <t>COGS - cloud hosting and storage / Amazon Web Services / Snowflake / GCP / Pinecone / Cloudflare: +3,207 (sticks, Rate-driven)</t>
        </is>
      </c>
    </row>
    <row r="17">
      <c r="A17" s="9" t="inlineStr">
        <is>
          <t>5020 COGS - dedicated GPU compute</t>
        </is>
      </c>
      <c r="C17" s="10" t="n">
        <v>-117000</v>
      </c>
      <c r="D17" s="10" t="n">
        <v>0</v>
      </c>
      <c r="E17" s="10">
        <f>C17+D17</f>
        <v/>
      </c>
      <c r="F17" s="11">
        <f>IF(C17=0,"",D17/ABS(C17))</f>
        <v/>
      </c>
      <c r="H17" s="36" t="inlineStr"/>
      <c r="I17" s="36" t="inlineStr"/>
    </row>
    <row r="18">
      <c r="A18" s="9" t="inlineStr">
        <is>
          <t>5030 COGS - third-party data and APIs</t>
        </is>
      </c>
      <c r="C18" s="10" t="n">
        <v>-69163.36</v>
      </c>
      <c r="D18" s="10" t="n">
        <v>-3690.36</v>
      </c>
      <c r="E18" s="10">
        <f>C18+D18</f>
        <v/>
      </c>
      <c r="F18" s="11">
        <f>IF(C18=0,"",D18/ABS(C18))</f>
        <v/>
      </c>
      <c r="H18" s="36" t="inlineStr">
        <is>
          <t>January sticks -3,690. USD 24,147 against a plan built off the December run rate at 0.6% monthly growth.</t>
        </is>
      </c>
      <c r="I18" s="36" t="inlineStr">
        <is>
          <t>COGS - third-party data and APIs / Halstead Data Partners / Scale AI / Dun &amp; Bradstreet / Clearbit: -3,690 (sticks, Run-rate)</t>
        </is>
      </c>
    </row>
    <row r="19">
      <c r="A19" s="9" t="inlineStr">
        <is>
          <t>5040 COGS - support payroll</t>
        </is>
      </c>
      <c r="C19" s="10" t="n">
        <v>-165000</v>
      </c>
      <c r="D19" s="10" t="n">
        <v>61165.78</v>
      </c>
      <c r="E19" s="10">
        <f>C19+D19</f>
        <v/>
      </c>
      <c r="F19" s="11">
        <f>IF(C19=0,"",D19/ABS(C19))</f>
        <v/>
      </c>
      <c r="H19" s="36" t="inlineStr">
        <is>
          <t>January sticks +61,166. Heads USD 11,000, rate USD 6,271.</t>
        </is>
      </c>
      <c r="I19" s="36" t="inlineStr">
        <is>
          <t>COGS - support payroll / (no vendor - internal entry): +61,166 (sticks, Run-rate)</t>
        </is>
      </c>
    </row>
    <row r="20">
      <c r="A20" s="9" t="inlineStr">
        <is>
          <t>5050 COGS - professional services payroll</t>
        </is>
      </c>
      <c r="C20" s="10" t="n">
        <v>-165000</v>
      </c>
      <c r="D20" s="10" t="n">
        <v>-7614.25</v>
      </c>
      <c r="E20" s="10">
        <f>C20+D20</f>
        <v/>
      </c>
      <c r="F20" s="11">
        <f>IF(C20=0,"",D20/ABS(C20))</f>
        <v/>
      </c>
      <c r="H20" s="36" t="inlineStr">
        <is>
          <t>January sticks -7,614. Five delivery heads at USD 696,294 loaded, USD 58,025 a month against a plan of USD 55,000.</t>
        </is>
      </c>
      <c r="I20" s="36" t="inlineStr">
        <is>
          <t>COGS - professional services payroll / (no vendor - internal entry): -7,614 (sticks, Run-rate)</t>
        </is>
      </c>
    </row>
    <row r="21">
      <c r="A21" s="9" t="inlineStr">
        <is>
          <t>5060 COGS - delivery contractors</t>
        </is>
      </c>
      <c r="C21" s="10" t="n">
        <v>-48384.94</v>
      </c>
      <c r="D21" s="10" t="n">
        <v>-1422.9</v>
      </c>
      <c r="E21" s="10">
        <f>C21+D21</f>
        <v/>
      </c>
      <c r="F21" s="11">
        <f>IF(C21=0,"",D21/ABS(C21))</f>
        <v/>
      </c>
      <c r="H21" s="36" t="inlineStr">
        <is>
          <t>January sticks -1,423. Contractor days billed USD 16,442 against a December run rate of USD 15,810 grown at 1.0%.</t>
        </is>
      </c>
      <c r="I21" s="36" t="inlineStr">
        <is>
          <t>COGS - delivery contractors / Miscellaneous suppliers (under $5k): -1,423 (sticks, Run-rate)</t>
        </is>
      </c>
    </row>
    <row r="22">
      <c r="A22" s="9" t="inlineStr">
        <is>
          <t>5070 COGS - amortization of capitalized software</t>
        </is>
      </c>
      <c r="C22" s="10" t="n">
        <v>-136200</v>
      </c>
      <c r="D22" s="10" t="n">
        <v>5118</v>
      </c>
      <c r="E22" s="10">
        <f>C22+D22</f>
        <v/>
      </c>
      <c r="F22" s="11">
        <f>IF(C22=0,"",D22/ABS(C22))</f>
        <v/>
      </c>
      <c r="H22" s="36" t="inlineStr">
        <is>
          <t>January sticks +5,118. The charge is USD 43,694.23, identical to December and to the trailing 3-month average to the cent, which is exactly right: the register placed....</t>
        </is>
      </c>
      <c r="I22" s="36" t="inlineStr">
        <is>
          <t>COGS - amortization of capitalized software / (no vendor - internal entry): +5,118 (sticks, Run-rate)</t>
        </is>
      </c>
    </row>
    <row r="23">
      <c r="A23" s="9" t="inlineStr">
        <is>
          <t>5080 COGS - payment processing fees</t>
        </is>
      </c>
      <c r="C23" s="10" t="n">
        <v>-34408.8</v>
      </c>
      <c r="D23" s="10" t="n">
        <v>7517.4</v>
      </c>
      <c r="E23" s="10">
        <f>C23+D23</f>
        <v/>
      </c>
      <c r="F23" s="11">
        <f>IF(C23=0,"",D23/ABS(C23))</f>
        <v/>
      </c>
      <c r="H23" s="36" t="inlineStr">
        <is>
          <t>January sticks +7,517. The effective rate did not move at all: USD 11,966.55 of fees on USD 509,215.00 of card-collected billings settled through Stripe is 2.350000%,....</t>
        </is>
      </c>
      <c r="I23" s="36" t="inlineStr">
        <is>
          <t>COGS - payment processing fees / Stripe, Inc.: +7,517 (sticks, Volume-driven)</t>
        </is>
      </c>
    </row>
    <row r="24">
      <c r="A24" s="9" t="inlineStr">
        <is>
          <t>5090 COGS - other</t>
        </is>
      </c>
      <c r="C24" s="10" t="n">
        <v>-10795.91</v>
      </c>
      <c r="D24" s="10" t="n">
        <v>-278.46</v>
      </c>
      <c r="E24" s="10">
        <f>C24+D24</f>
        <v/>
      </c>
      <c r="F24" s="11">
        <f>IF(C24=0,"",D24/ABS(C24))</f>
        <v/>
      </c>
      <c r="H24" s="36" t="inlineStr">
        <is>
          <t>January sticks -278. Localization at USD 3,677 against a December run rate of USD 3,570 grown at 0.4%.</t>
        </is>
      </c>
      <c r="I24" s="36" t="inlineStr">
        <is>
          <t>COGS - other / Unbabel Ltda: -278 (sticks, Run-rate)</t>
        </is>
      </c>
    </row>
    <row r="25">
      <c r="A25" s="20" t="inlineStr">
        <is>
          <t>Total cost of revenue</t>
        </is>
      </c>
      <c r="B25" s="12" t="n"/>
      <c r="C25" s="21">
        <f>SUM(C15:C24)</f>
        <v/>
      </c>
      <c r="D25" s="21">
        <f>SUM(D15:D24)</f>
        <v/>
      </c>
      <c r="E25" s="21">
        <f>C25+D25</f>
        <v/>
      </c>
      <c r="F25" s="22">
        <f>IF(C25=0,"",D25/ABS(C25))</f>
        <v/>
      </c>
      <c r="G25" s="12" t="n"/>
      <c r="H25" s="12" t="n"/>
      <c r="I25" s="12" t="n"/>
    </row>
    <row r="26">
      <c r="A26" s="23" t="inlineStr">
        <is>
          <t>GROSS PROFIT</t>
        </is>
      </c>
      <c r="B26" s="37" t="n"/>
      <c r="C26" s="24">
        <f>C13+C25</f>
        <v/>
      </c>
      <c r="D26" s="24">
        <f>D13+D25</f>
        <v/>
      </c>
      <c r="E26" s="24">
        <f>C26+D26</f>
        <v/>
      </c>
      <c r="F26" s="25">
        <f>IF(C26=0,"",D26/ABS(C26))</f>
        <v/>
      </c>
    </row>
    <row r="27">
      <c r="A27" s="16" t="inlineStr">
        <is>
          <t xml:space="preserve">   Gross margin %</t>
        </is>
      </c>
      <c r="C27" s="17">
        <f>IF(C13=0,"",C26/C13)</f>
        <v/>
      </c>
      <c r="E27" s="17">
        <f>IF(E13=0,"",E26/E13)</f>
        <v/>
      </c>
      <c r="F27" s="18">
        <f>IF(OR(C13=0,E13=0),"",(E26/E13-C26/C13)*100)</f>
        <v/>
      </c>
      <c r="H27" s="16" t="inlineStr">
        <is>
          <t>Move in points, not the percentage variance in the column above.</t>
        </is>
      </c>
    </row>
    <row r="28">
      <c r="A28" s="19" t="inlineStr">
        <is>
          <t>OPERATING EXPENSE, BY COST CENTER OWNER</t>
        </is>
      </c>
      <c r="B28" s="19" t="n"/>
      <c r="C28" s="19" t="n"/>
      <c r="D28" s="19" t="n"/>
      <c r="E28" s="19" t="n"/>
      <c r="F28" s="19" t="n"/>
      <c r="G28" s="19" t="n"/>
      <c r="H28" s="19" t="n"/>
      <c r="I28" s="19" t="n"/>
    </row>
    <row r="29">
      <c r="A29" s="9" t="inlineStr">
        <is>
          <t>CC-100 Executive</t>
        </is>
      </c>
      <c r="B29" s="35" t="inlineStr">
        <is>
          <t>Dana Whitfield (CEO)</t>
        </is>
      </c>
      <c r="C29" s="10" t="n">
        <v>-791293.2</v>
      </c>
      <c r="D29" s="10" t="n">
        <v>-28499.13</v>
      </c>
      <c r="E29" s="10">
        <f>C29+D29</f>
        <v/>
      </c>
      <c r="F29" s="11">
        <f>IF(C29=0,"",D29/ABS(C29))</f>
        <v/>
      </c>
      <c r="H29" s="36" t="inlineStr">
        <is>
          <t>January sticks +13,991; -42,490 materializes on the open months. -100,251 in Q1 if the accrual holds at 100% of target; each 10 points of company multiplier is roughly USD 10.4k a quarter in G&amp;A alone.</t>
        </is>
      </c>
      <c r="I29" s="36" t="inlineStr">
        <is>
          <t>G&amp;A - salaries and wages / (no vendor - internal entry): -36,434 (materializes, Rate-driven) | R&amp;D - salaries and wages / (no vendor - internal entry): +11,745 (sticks, Rate-driven) | G&amp;A - payroll taxes and benefits / (no vendor - internal entry): -6,056 (materializes, Rate-driven) | R&amp;D - payroll taxes and benefits / (no vendor - internal entry): +2,246 (sticks, Rate-driven)</t>
        </is>
      </c>
    </row>
    <row r="30">
      <c r="A30" s="9" t="inlineStr">
        <is>
          <t>CC-200 Engineering</t>
        </is>
      </c>
      <c r="B30" s="35" t="inlineStr">
        <is>
          <t>Priya Raghavan (VP Engineering)</t>
        </is>
      </c>
      <c r="C30" s="10" t="n">
        <v>-1351685.33</v>
      </c>
      <c r="D30" s="10" t="n">
        <v>56867.64</v>
      </c>
      <c r="E30" s="10">
        <f>C30+D30</f>
        <v/>
      </c>
      <c r="F30" s="11">
        <f>IF(C30=0,"",D30/ABS(C30))</f>
        <v/>
      </c>
      <c r="H30" s="36" t="inlineStr">
        <is>
          <t>January sticks +148,153; -74,064 materializes on the open months. +64,900 a month while the roster holds; +129,800 Feb+Mar.</t>
        </is>
      </c>
      <c r="I30" s="36" t="inlineStr">
        <is>
          <t>R&amp;D - salaries and wages / (no vendor - internal entry): +132,807 (sticks, Rate-driven) | R&amp;D - capitalized software labor (contra) / (no vendor - internal entry): -74,064 (materializes, One-time) | R&amp;D - payroll taxes and benefits / (no vendor - internal entry): +25,626 (sticks, Rate-driven) | R&amp;D - contractors / Thoughtbolt Engineering LLC: -17,221 (absorbed, Volume-driven) | R&amp;D - software and developer tools / GitHub, Inc.: -4,050 (sticks, Rate-driven) | R&amp;D - software and developer tools / LaunchDarkly, Inc.: -2,388 (sticks, Rate-driven) | R&amp;D - software and developer tools / Sentry (Functional Software): -1,765 (sticks, Rate-driven) | R&amp;D - software and developer tools / JetBrains s.r.o.: -1,090 (sticks, Rate-driven) | R&amp;D - software and developer tools / Linear Orbit, Inc.: -986 (sticks, Rate-driven)</t>
        </is>
      </c>
    </row>
    <row r="31">
      <c r="A31" s="9" t="inlineStr">
        <is>
          <t>CC-210 Applied Research</t>
        </is>
      </c>
      <c r="B31" s="35" t="inlineStr">
        <is>
          <t>Tomas Lindqvist (Head of Applied Research)</t>
        </is>
      </c>
      <c r="C31" s="10" t="n">
        <v>-547294.27</v>
      </c>
      <c r="D31" s="10" t="n">
        <v>-221052.26</v>
      </c>
      <c r="E31" s="10">
        <f>C31+D31</f>
        <v/>
      </c>
      <c r="F31" s="11">
        <f>IF(C31=0,"",D31/ABS(C31))</f>
        <v/>
      </c>
      <c r="H31" s="36" t="inlineStr">
        <is>
          <t>January sticks -221,052. -177,000 Feb+Mar if the reservation recurs; -88,500 Jan already booked.</t>
        </is>
      </c>
      <c r="I31" s="36" t="inlineStr">
        <is>
          <t>R&amp;D - research compute / CoreWeave, Inc.: -265,500 (sticks, Run-rate) | R&amp;D - salaries and wages / (no vendor - internal entry): +59,212 (sticks, Rate-driven) | R&amp;D - research compute / Weights &amp; Biases, Inc.: -16,096 (sticks, Rate-driven) | R&amp;D - payroll taxes and benefits / (no vendor - internal entry): +11,273 (sticks, Rate-driven) | R&amp;D - research compute / Hugging Face, Inc.: -9,942 (sticks, Rate-driven)</t>
        </is>
      </c>
    </row>
    <row r="32">
      <c r="A32" s="9" t="inlineStr">
        <is>
          <t>CC-220 Platform &amp; Infrastructure</t>
        </is>
      </c>
      <c r="B32" s="35" t="inlineStr">
        <is>
          <t>Marcus Bell (Head of Infrastructure)</t>
        </is>
      </c>
      <c r="C32" s="10" t="n">
        <v>-472251.02</v>
      </c>
      <c r="D32" s="10" t="n">
        <v>9899.120000000001</v>
      </c>
      <c r="E32" s="10">
        <f>C32+D32</f>
        <v/>
      </c>
      <c r="F32" s="11">
        <f>IF(C32=0,"",D32/ABS(C32))</f>
        <v/>
      </c>
      <c r="H32" s="36" t="inlineStr">
        <is>
          <t>January sticks +59,315. +64,900 a month while the roster holds; +129,800 Feb+Mar.</t>
        </is>
      </c>
      <c r="I32" s="36" t="inlineStr">
        <is>
          <t>R&amp;D - salaries and wages / (no vendor - internal entry): +51,093 (sticks, Rate-driven) | R&amp;D - software and developer tools / Datadog, Inc.: -49,416 (absorbed, One-time) | R&amp;D - payroll taxes and benefits / (no vendor - internal entry): +9,728 (sticks, Rate-driven) | R&amp;D - software and developer tools / PagerDuty, Inc.: -1,506 (sticks, Rate-driven)</t>
        </is>
      </c>
    </row>
    <row r="33">
      <c r="A33" s="9" t="inlineStr">
        <is>
          <t>CC-300 Product &amp; Design</t>
        </is>
      </c>
      <c r="B33" s="35" t="inlineStr">
        <is>
          <t>Elena Duarte (VP Product)</t>
        </is>
      </c>
      <c r="C33" s="10" t="n">
        <v>-379750.58</v>
      </c>
      <c r="D33" s="10" t="n">
        <v>46139.46</v>
      </c>
      <c r="E33" s="10">
        <f>C33+D33</f>
        <v/>
      </c>
      <c r="F33" s="11">
        <f>IF(C33=0,"",D33/ABS(C33))</f>
        <v/>
      </c>
      <c r="H33" s="36" t="inlineStr">
        <is>
          <t>January sticks +46,139. +64,900 a month while the roster holds; +129,800 Feb+Mar.</t>
        </is>
      </c>
      <c r="I33" s="36" t="inlineStr">
        <is>
          <t>R&amp;D - salaries and wages / (no vendor - internal entry): +41,173 (sticks, Rate-driven) | R&amp;D - payroll taxes and benefits / (no vendor - internal entry): +7,822 (sticks, Rate-driven) | R&amp;D - software and developer tools / Figma, Inc.: -1,973 (sticks, Rate-driven) | R&amp;D - software and developer tools / Maze Design Ltd: -883 (sticks, Rate-driven)</t>
        </is>
      </c>
    </row>
    <row r="34">
      <c r="A34" s="9" t="inlineStr">
        <is>
          <t>CC-400 Sales - Enterprise</t>
        </is>
      </c>
      <c r="B34" s="35" t="inlineStr">
        <is>
          <t>Grant Mwangi (VP Sales)</t>
        </is>
      </c>
      <c r="C34" s="10" t="n">
        <v>-686431.83</v>
      </c>
      <c r="D34" s="10" t="n">
        <v>71083.77</v>
      </c>
      <c r="E34" s="10">
        <f>C34+D34</f>
        <v/>
      </c>
      <c r="F34" s="11">
        <f>IF(C34=0,"",D34/ABS(C34))</f>
        <v/>
      </c>
      <c r="H34" s="36" t="inlineStr">
        <is>
          <t>+71,084 materializes on the open months. Q1 favorable approx USD 255k.</t>
        </is>
      </c>
      <c r="I34" s="36" t="inlineStr">
        <is>
          <t>S&amp;M - salaries and wages / (no vendor - internal entry): +62,816 (materializes, Run-rate) | S&amp;M - payroll taxes and benefits / (no vendor - internal entry): +10,668 (materializes, Run-rate) | S&amp;M - travel and entertainment / Navan, Inc.: -2,400 (materializes, Run-rate)</t>
        </is>
      </c>
    </row>
    <row r="35">
      <c r="A35" s="9" t="inlineStr">
        <is>
          <t>CC-410 Sales - Mid-market</t>
        </is>
      </c>
      <c r="B35" s="35" t="inlineStr">
        <is>
          <t>Grant Mwangi (VP Sales)</t>
        </is>
      </c>
      <c r="C35" s="10" t="n">
        <v>-340109.15</v>
      </c>
      <c r="D35" s="10" t="n">
        <v>38495.66</v>
      </c>
      <c r="E35" s="10">
        <f>C35+D35</f>
        <v/>
      </c>
      <c r="F35" s="11">
        <f>IF(C35=0,"",D35/ABS(C35))</f>
        <v/>
      </c>
      <c r="H35" s="36" t="inlineStr">
        <is>
          <t>+38,496 materializes on the open months. Q1 favorable approx USD 255k.</t>
        </is>
      </c>
      <c r="I35" s="36" t="inlineStr">
        <is>
          <t>S&amp;M - salaries and wages / (no vendor - internal entry): +32,986 (materializes, Run-rate) | S&amp;M - payroll taxes and benefits / (no vendor - internal entry): +5,509 (materializes, Run-rate)</t>
        </is>
      </c>
    </row>
    <row r="36">
      <c r="A36" s="9" t="inlineStr">
        <is>
          <t>CC-420 Sales Engineering</t>
        </is>
      </c>
      <c r="B36" s="35" t="inlineStr">
        <is>
          <t>Ruth Oyelaran (Dir. Sales Engineering)</t>
        </is>
      </c>
      <c r="C36" s="10" t="n">
        <v>-362674.08</v>
      </c>
      <c r="D36" s="10" t="n">
        <v>41327</v>
      </c>
      <c r="E36" s="10">
        <f>C36+D36</f>
        <v/>
      </c>
      <c r="F36" s="11">
        <f>IF(C36=0,"",D36/ABS(C36))</f>
        <v/>
      </c>
      <c r="H36" s="36" t="inlineStr">
        <is>
          <t>+41,327 materializes on the open months. Q1 favorable approx USD 255k.</t>
        </is>
      </c>
      <c r="I36" s="36" t="inlineStr">
        <is>
          <t>S&amp;M - salaries and wages / (no vendor - internal entry): +35,452 (materializes, Run-rate) | S&amp;M - payroll taxes and benefits / (no vendor - internal entry): +5,875 (materializes, Run-rate)</t>
        </is>
      </c>
    </row>
    <row r="37">
      <c r="A37" s="9" t="inlineStr">
        <is>
          <t>CC-430 Revenue Operations</t>
        </is>
      </c>
      <c r="B37" s="35" t="inlineStr">
        <is>
          <t>Kevin Sandoval (Dir. RevOps)</t>
        </is>
      </c>
      <c r="C37" s="10" t="n">
        <v>-233498.01</v>
      </c>
      <c r="D37" s="10" t="n">
        <v>8492.23</v>
      </c>
      <c r="E37" s="10">
        <f>C37+D37</f>
        <v/>
      </c>
      <c r="F37" s="11">
        <f>IF(C37=0,"",D37/ABS(C37))</f>
        <v/>
      </c>
      <c r="H37" s="36" t="inlineStr">
        <is>
          <t>+8,492 materializes on the open months. Q1 favorable approx USD 255k.</t>
        </is>
      </c>
      <c r="I37" s="36" t="inlineStr">
        <is>
          <t>S&amp;M - salaries and wages / (no vendor - internal entry): +23,210 (materializes, Run-rate) | S&amp;M - software and tools / Gong.io, Inc.: -18,500 (materializes, Rate-driven) | S&amp;M - payroll taxes and benefits / (no vendor - internal entry): +3,782 (materializes, Run-rate)</t>
        </is>
      </c>
    </row>
    <row r="38">
      <c r="A38" s="9" t="inlineStr">
        <is>
          <t>CC-440 Sales - EMEA</t>
        </is>
      </c>
      <c r="B38" s="35" t="inlineStr">
        <is>
          <t>Isabelle Rochet (Dir. EMEA)</t>
        </is>
      </c>
      <c r="C38" s="10" t="n">
        <v>-270309.17</v>
      </c>
      <c r="D38" s="10" t="n">
        <v>30486</v>
      </c>
      <c r="E38" s="10">
        <f>C38+D38</f>
        <v/>
      </c>
      <c r="F38" s="11">
        <f>IF(C38=0,"",D38/ABS(C38))</f>
        <v/>
      </c>
      <c r="H38" s="36" t="inlineStr">
        <is>
          <t>+30,486 materializes on the open months. Q1 favorable approx USD 255k.</t>
        </is>
      </c>
      <c r="I38" s="36" t="inlineStr">
        <is>
          <t>S&amp;M - salaries and wages / (no vendor - internal entry): +24,919 (materializes, Run-rate) | S&amp;M - payroll taxes and benefits / (no vendor - internal entry): +5,567 (materializes, Run-rate)</t>
        </is>
      </c>
    </row>
    <row r="39">
      <c r="A39" s="9" t="inlineStr">
        <is>
          <t>CC-500 Marketing</t>
        </is>
      </c>
      <c r="B39" s="35" t="inlineStr">
        <is>
          <t>Naomi Ostrander (VP Marketing)</t>
        </is>
      </c>
      <c r="C39" s="10" t="n">
        <v>-440833.78</v>
      </c>
      <c r="D39" s="10" t="n">
        <v>33646.29</v>
      </c>
      <c r="E39" s="10">
        <f>C39+D39</f>
        <v/>
      </c>
      <c r="F39" s="11">
        <f>IF(C39=0,"",D39/ABS(C39))</f>
        <v/>
      </c>
      <c r="H39" s="36" t="inlineStr">
        <is>
          <t>+33,646 materializes on the open months. Q1 favorable approx USD 255k.</t>
        </is>
      </c>
      <c r="I39" s="36" t="inlineStr">
        <is>
          <t>S&amp;M - salaries and wages / (no vendor - internal entry): +40,838 (materializes, Run-rate) | S&amp;M - demand generation and paid media / All media vendors: -14,000 (materializes, Run-rate) | S&amp;M - payroll taxes and benefits / (no vendor - internal entry): +6,808 (materializes, Run-rate)</t>
        </is>
      </c>
    </row>
    <row r="40">
      <c r="A40" s="9" t="inlineStr">
        <is>
          <t>CC-600 Customer Success</t>
        </is>
      </c>
      <c r="B40" s="35" t="inlineStr">
        <is>
          <t>Hana Kobayashi (VP CS)</t>
        </is>
      </c>
      <c r="C40" s="10" t="n">
        <v>-357441.64</v>
      </c>
      <c r="D40" s="10" t="n">
        <v>40569.06</v>
      </c>
      <c r="E40" s="10">
        <f>C40+D40</f>
        <v/>
      </c>
      <c r="F40" s="11">
        <f>IF(C40=0,"",D40/ABS(C40))</f>
        <v/>
      </c>
      <c r="H40" s="36" t="inlineStr">
        <is>
          <t>+40,569 materializes on the open months. Q1 favorable approx USD 255k.</t>
        </is>
      </c>
      <c r="I40" s="36" t="inlineStr">
        <is>
          <t>S&amp;M - salaries and wages / (no vendor - internal entry): +34,779 (materializes, Run-rate) | S&amp;M - payroll taxes and benefits / (no vendor - internal entry): +5,790 (materializes, Run-rate)</t>
        </is>
      </c>
    </row>
    <row r="41">
      <c r="A41" s="9" t="inlineStr">
        <is>
          <t>CC-700 Finance</t>
        </is>
      </c>
      <c r="B41" s="35" t="inlineStr">
        <is>
          <t>Jonathan Reyes (VP Finance)</t>
        </is>
      </c>
      <c r="C41" s="10" t="n">
        <v>-432263.17</v>
      </c>
      <c r="D41" s="10" t="n">
        <v>-14460</v>
      </c>
      <c r="E41" s="10">
        <f>C41+D41</f>
        <v/>
      </c>
      <c r="F41" s="11">
        <f>IF(C41=0,"",D41/ABS(C41))</f>
        <v/>
      </c>
      <c r="H41" s="36" t="inlineStr">
        <is>
          <t>January sticks -4,361; -40,010 materializes on the open months. +29,912 in Q1 (Jan +36,559, Feb -3,324, Mar -3,324); nil for the full year.</t>
        </is>
      </c>
      <c r="I41" s="36" t="inlineStr">
        <is>
          <t>G&amp;A - taxes, licenses and fees / Delaware Division of Corporations: +29,912 (absorbed, Timing) | G&amp;A - salaries and wages / (no vendor - internal entry): -23,194 (materializes, Rate-driven) | G&amp;A - accounting, audit and tax / All engagement vendors (5): -18,079 (materializes, Rate-driven) | G&amp;A - credit loss expense / (no vendor - internal entry): +5,100 (materializes, Volume-driven) | G&amp;A - payroll taxes and benefits / (no vendor - internal entry): -3,837 (materializes, Rate-driven) | R&amp;D - recruiting, travel and other / Miscellaneous suppliers (under $5k): -1,454 (sticks, Run-rate) | R&amp;D - recruiting, travel and other / Miscellaneous suppliers (under $5k): -1,454 (sticks, Run-rate) | R&amp;D - recruiting, travel and other / Miscellaneous suppliers (under $5k): -1,454 (sticks, Run-rate)</t>
        </is>
      </c>
    </row>
    <row r="42">
      <c r="A42" s="9" t="inlineStr">
        <is>
          <t>CC-710 People Operations</t>
        </is>
      </c>
      <c r="B42" s="35" t="inlineStr">
        <is>
          <t>Cara Nwosu (Head of People)</t>
        </is>
      </c>
      <c r="C42" s="10" t="n">
        <v>-234818.32</v>
      </c>
      <c r="D42" s="10" t="n">
        <v>-37969.7</v>
      </c>
      <c r="E42" s="10">
        <f>C42+D42</f>
        <v/>
      </c>
      <c r="F42" s="11">
        <f>IF(C42=0,"",D42/ABS(C42))</f>
        <v/>
      </c>
      <c r="H42" s="36" t="inlineStr">
        <is>
          <t>-37,970 materializes on the open months. -23,106 in Q1 at the January rate; the account is -24,660 including Riviera Partners.</t>
        </is>
      </c>
      <c r="I42" s="36" t="inlineStr">
        <is>
          <t>G&amp;A - recruiting / Robert Half Technology: -23,106 (materializes, Run-rate) | G&amp;A - salaries and wages / (no vendor - internal entry): -12,779 (materializes, Rate-driven) | G&amp;A - payroll taxes and benefits / (no vendor - internal entry): -2,085 (materializes, Rate-driven)</t>
        </is>
      </c>
    </row>
    <row r="43">
      <c r="A43" s="9" t="inlineStr">
        <is>
          <t>CC-720 Legal</t>
        </is>
      </c>
      <c r="B43" s="35" t="inlineStr">
        <is>
          <t>Simon Aldridge (General Counsel)</t>
        </is>
      </c>
      <c r="C43" s="10" t="n">
        <v>-299340.47</v>
      </c>
      <c r="D43" s="10" t="n">
        <v>-60789.44</v>
      </c>
      <c r="E43" s="10">
        <f>C43+D43</f>
        <v/>
      </c>
      <c r="F43" s="11">
        <f>IF(C43=0,"",D43/ABS(C43))</f>
        <v/>
      </c>
      <c r="H43" s="36" t="inlineStr">
        <is>
          <t>January sticks -35,162; -25,627 materializes on the open months. -35,162 in Q1 (Jan -25,364, Feb -10,224, Mar +426), of which -19,400 is the non-recurring renewal accrual.</t>
        </is>
      </c>
      <c r="I43" s="36" t="inlineStr">
        <is>
          <t>G&amp;A - legal fees / Cooley LLP: -35,162 (sticks, One-time) | G&amp;A - salaries and wages / (no vendor - internal entry): -16,421 (materializes, Rate-driven) | G&amp;A - legal fees / Fenwick &amp; West LLP: -6,549 (materializes, Run-rate) | G&amp;A - payroll taxes and benefits / (no vendor - internal entry): -2,657 (materializes, Rate-driven)</t>
        </is>
      </c>
    </row>
    <row r="44">
      <c r="A44" s="9" t="inlineStr">
        <is>
          <t>CC-730 IT &amp; Security</t>
        </is>
      </c>
      <c r="B44" s="35" t="inlineStr">
        <is>
          <t>Marcus Bell (Head of Infrastructure)</t>
        </is>
      </c>
      <c r="C44" s="10" t="n">
        <v>-188277.75</v>
      </c>
      <c r="D44" s="10" t="n">
        <v>-13279.62</v>
      </c>
      <c r="E44" s="10">
        <f>C44+D44</f>
        <v/>
      </c>
      <c r="F44" s="11">
        <f>IF(C44=0,"",D44/ABS(C44))</f>
        <v/>
      </c>
      <c r="H44" s="36" t="inlineStr">
        <is>
          <t>-13,280 materializes on the open months. -100,251 in Q1 if the accrual holds at 100% of target; each 10 points of company multiplier is roughly USD 10.4k a quarter in G&amp;A alone.</t>
        </is>
      </c>
      <c r="I44" s="36" t="inlineStr">
        <is>
          <t>G&amp;A - salaries and wages / (no vendor - internal entry): -11,423 (materializes, Rate-driven) | G&amp;A - payroll taxes and benefits / (no vendor - internal entry): -1,857 (materializes, Rate-driven)</t>
        </is>
      </c>
    </row>
    <row r="45">
      <c r="A45" s="20" t="inlineStr">
        <is>
          <t>Total operating expense</t>
        </is>
      </c>
      <c r="B45" s="12" t="n"/>
      <c r="C45" s="21">
        <f>SUM(C29:C44)</f>
        <v/>
      </c>
      <c r="D45" s="21">
        <f>SUM(D29:D44)</f>
        <v/>
      </c>
      <c r="E45" s="21">
        <f>C45+D45</f>
        <v/>
      </c>
      <c r="F45" s="22">
        <f>IF(C45=0,"",D45/ABS(C45))</f>
        <v/>
      </c>
      <c r="G45" s="12" t="n"/>
      <c r="H45" s="12" t="n"/>
      <c r="I45" s="12" t="n"/>
    </row>
    <row r="46">
      <c r="A46" s="16" t="inlineStr">
        <is>
          <t xml:space="preserve">   Total operating expense, % of revenue</t>
        </is>
      </c>
      <c r="C46" s="17">
        <f>IF(C13=0,"",-C45/C13)</f>
        <v/>
      </c>
      <c r="E46" s="17">
        <f>IF(E13=0,"",-E45/E13)</f>
        <v/>
      </c>
      <c r="F46" s="18">
        <f>IF(OR(C13=0,E13=0),"",(-E45/E13--C45/C13)*100)</f>
        <v/>
      </c>
      <c r="H46" s="16" t="inlineStr">
        <is>
          <t>Move in points, not the percentage variance in the column above.</t>
        </is>
      </c>
    </row>
    <row r="47">
      <c r="A47" s="23" t="inlineStr">
        <is>
          <t>OPERATING RESULT</t>
        </is>
      </c>
      <c r="B47" s="37" t="n"/>
      <c r="C47" s="24">
        <f>C26+C45</f>
        <v/>
      </c>
      <c r="D47" s="24">
        <f>D26+D45</f>
        <v/>
      </c>
      <c r="E47" s="24">
        <f>C47+D47</f>
        <v/>
      </c>
      <c r="F47" s="25">
        <f>IF(C47=0,"",D47/ABS(C47))</f>
        <v/>
      </c>
    </row>
    <row r="48">
      <c r="A48" s="19" t="inlineStr">
        <is>
          <t>OTHER INCOME (EXPENSE) AND TAX</t>
        </is>
      </c>
      <c r="B48" s="19" t="n"/>
      <c r="C48" s="19" t="n"/>
      <c r="D48" s="19" t="n"/>
      <c r="E48" s="19" t="n"/>
      <c r="F48" s="19" t="n"/>
      <c r="G48" s="19" t="n"/>
      <c r="H48" s="19" t="n"/>
      <c r="I48" s="19" t="n"/>
    </row>
    <row r="49">
      <c r="A49" s="9" t="inlineStr">
        <is>
          <t>9000 Interest income</t>
        </is>
      </c>
      <c r="C49" s="10" t="n">
        <v>211200</v>
      </c>
      <c r="D49" s="10" t="n">
        <v>0</v>
      </c>
      <c r="E49" s="10">
        <f>C49+D49</f>
        <v/>
      </c>
      <c r="F49" s="11">
        <f>IF(C49=0,"",D49/ABS(C49))</f>
        <v/>
      </c>
      <c r="H49" s="36" t="inlineStr"/>
      <c r="I49" s="36" t="inlineStr"/>
    </row>
    <row r="50">
      <c r="A50" s="9" t="inlineStr">
        <is>
          <t>9030 Income tax expense</t>
        </is>
      </c>
      <c r="C50" s="10" t="n">
        <v>-12000</v>
      </c>
      <c r="D50" s="10" t="n">
        <v>0</v>
      </c>
      <c r="E50" s="10">
        <f>C50+D50</f>
        <v/>
      </c>
      <c r="F50" s="11">
        <f>IF(C50=0,"",D50/ABS(C50))</f>
        <v/>
      </c>
      <c r="H50" s="36" t="inlineStr"/>
      <c r="I50" s="36" t="inlineStr"/>
    </row>
    <row r="51">
      <c r="A51" s="20" t="inlineStr">
        <is>
          <t>Total other income (expense) and tax</t>
        </is>
      </c>
      <c r="B51" s="12" t="n"/>
      <c r="C51" s="21">
        <f>SUM(C49:C50)</f>
        <v/>
      </c>
      <c r="D51" s="21">
        <f>SUM(D49:D50)</f>
        <v/>
      </c>
      <c r="E51" s="21">
        <f>C51+D51</f>
        <v/>
      </c>
      <c r="F51" s="22">
        <f>IF(C51=0,"",D51/ABS(C51))</f>
        <v/>
      </c>
      <c r="G51" s="12" t="n"/>
      <c r="H51" s="12" t="n"/>
      <c r="I51" s="12" t="n"/>
    </row>
    <row r="52">
      <c r="A52" s="23" t="inlineStr">
        <is>
          <t>NET RESULT</t>
        </is>
      </c>
      <c r="B52" s="37" t="n"/>
      <c r="C52" s="24">
        <f>C47+C51</f>
        <v/>
      </c>
      <c r="D52" s="24">
        <f>D47+D51</f>
        <v/>
      </c>
      <c r="E52" s="24">
        <f>C52+D52</f>
        <v/>
      </c>
      <c r="F52" s="25">
        <f>IF(C52=0,"",D52/ABS(C52))</f>
        <v/>
      </c>
    </row>
    <row r="53">
      <c r="A53" s="19" t="inlineStr">
        <is>
          <t>EBITDA BUILD</t>
        </is>
      </c>
      <c r="B53" s="19" t="n"/>
      <c r="C53" s="19" t="n"/>
      <c r="D53" s="19" t="n"/>
      <c r="E53" s="19" t="n"/>
      <c r="F53" s="19" t="n"/>
      <c r="G53" s="19" t="n"/>
      <c r="H53" s="19" t="n"/>
      <c r="I53" s="19" t="n"/>
    </row>
    <row r="54">
      <c r="A54" s="9" t="inlineStr">
        <is>
          <t>Operating result</t>
        </is>
      </c>
      <c r="C54" s="10">
        <f>C47</f>
        <v/>
      </c>
      <c r="D54" s="10">
        <f>D47</f>
        <v/>
      </c>
      <c r="E54" s="10">
        <f>C54+D54</f>
        <v/>
      </c>
    </row>
    <row r="55">
      <c r="A55" s="9" t="inlineStr">
        <is>
          <t>Add back Amortization of capitalized software - 5070</t>
        </is>
      </c>
      <c r="C55" s="10" t="n">
        <v>136200</v>
      </c>
      <c r="D55" s="10" t="n">
        <v>-5118</v>
      </c>
      <c r="E55" s="10">
        <f>C55+D55</f>
        <v/>
      </c>
    </row>
    <row r="56">
      <c r="A56" s="23" t="inlineStr">
        <is>
          <t>EBITDA</t>
        </is>
      </c>
      <c r="B56" s="37" t="n"/>
      <c r="C56" s="24">
        <f>C54+C55</f>
        <v/>
      </c>
      <c r="D56" s="24">
        <f>D54+D55</f>
        <v/>
      </c>
      <c r="E56" s="24">
        <f>C56+D56</f>
        <v/>
      </c>
      <c r="F56" s="25">
        <f>IF(C56=0,"",D56/ABS(C56))</f>
        <v/>
      </c>
    </row>
    <row r="57">
      <c r="A57" s="9" t="inlineStr">
        <is>
          <t>Add back R&amp;D stock comp - 6020</t>
        </is>
      </c>
      <c r="C57" s="10" t="n">
        <v>257329.04</v>
      </c>
      <c r="D57" s="10" t="n">
        <v>-0</v>
      </c>
      <c r="E57" s="10">
        <f>C57+D57</f>
        <v/>
      </c>
    </row>
    <row r="58">
      <c r="A58" s="9" t="inlineStr">
        <is>
          <t>Add back S&amp;M stock comp - 7020</t>
        </is>
      </c>
      <c r="C58" s="10" t="n">
        <v>171552.7</v>
      </c>
      <c r="D58" s="10" t="n">
        <v>-0</v>
      </c>
      <c r="E58" s="10">
        <f>C58+D58</f>
        <v/>
      </c>
    </row>
    <row r="59">
      <c r="A59" s="9" t="inlineStr">
        <is>
          <t>Add back G&amp;A stock comp - 8020</t>
        </is>
      </c>
      <c r="C59" s="10" t="n">
        <v>214440.87</v>
      </c>
      <c r="D59" s="10" t="n">
        <v>-0</v>
      </c>
      <c r="E59" s="10">
        <f>C59+D59</f>
        <v/>
      </c>
    </row>
    <row r="60">
      <c r="A60" s="9" t="inlineStr">
        <is>
          <t>Add back Depreciation - 8080</t>
        </is>
      </c>
      <c r="C60" s="10" t="n">
        <v>55380</v>
      </c>
      <c r="D60" s="10" t="n">
        <v>-0</v>
      </c>
      <c r="E60" s="10">
        <f>C60+D60</f>
        <v/>
      </c>
    </row>
    <row r="61">
      <c r="A61" s="23" t="inlineStr">
        <is>
          <t>ADJUSTED EBITDA</t>
        </is>
      </c>
      <c r="B61" s="37" t="n"/>
      <c r="C61" s="24">
        <f>C56+C57+C58+C59+C60</f>
        <v/>
      </c>
      <c r="D61" s="24">
        <f>D56+D57+D58+D59+D60</f>
        <v/>
      </c>
      <c r="E61" s="24">
        <f>C61+D61</f>
        <v/>
      </c>
      <c r="F61" s="25">
        <f>IF(C61=0,"",D61/ABS(C61))</f>
        <v/>
      </c>
    </row>
    <row r="62">
      <c r="A62" s="16" t="inlineStr">
        <is>
          <t xml:space="preserve">   Adjusted EBITDA margin %</t>
        </is>
      </c>
      <c r="C62" s="17">
        <f>IF(C13=0,"",C61/C13)</f>
        <v/>
      </c>
      <c r="E62" s="17">
        <f>IF(E13=0,"",E61/E13)</f>
        <v/>
      </c>
      <c r="F62" s="18">
        <f>IF(OR(C13=0,E13=0),"",(E61/E13-C61/C13)*100)</f>
        <v/>
      </c>
      <c r="H62" s="16" t="inlineStr">
        <is>
          <t>Move in points, not the percentage variance in the column above.</t>
        </is>
      </c>
    </row>
    <row r="65">
      <c r="A65" s="19" t="inlineStr">
        <is>
          <t>EXCLUDED - ABSORBED BY THE QUARTER</t>
        </is>
      </c>
      <c r="B65" s="38" t="n"/>
      <c r="C65" s="38" t="n"/>
      <c r="D65" s="38" t="n"/>
      <c r="E65" s="38" t="n"/>
      <c r="F65" s="38" t="n"/>
      <c r="G65" s="38" t="n"/>
      <c r="H65" s="38" t="n"/>
      <c r="I65" s="38" t="n"/>
    </row>
    <row r="66">
      <c r="A66" s="16" t="inlineStr">
        <is>
          <t>These lines carry a January variance and move the forecast by nothing, because the remaining months of the quarter take them back. Each names what absorbs it.</t>
        </is>
      </c>
    </row>
    <row r="68">
      <c r="A68" s="39" t="inlineStr">
        <is>
          <t>Line</t>
        </is>
      </c>
      <c r="C68" s="39" t="inlineStr">
        <is>
          <t>January variance</t>
        </is>
      </c>
      <c r="H68" s="39" t="inlineStr">
        <is>
          <t>What absorbs it</t>
        </is>
      </c>
    </row>
    <row r="69">
      <c r="A69" s="9" t="inlineStr">
        <is>
          <t>6040 R&amp;D - software and developer tools / Datadog, Inc.</t>
        </is>
      </c>
      <c r="C69" s="10" t="n">
        <v>-47938.54</v>
      </c>
      <c r="H69" s="36" t="inlineStr">
        <is>
          <t>One-time. Duplicate invoice USD 47,200 for service period 2025-12, paid twice and recorded not adjusted because the period is closed; underlying January bill is USD 21,335.68 against a USD 20,597 plan</t>
        </is>
      </c>
    </row>
    <row r="70">
      <c r="A70" s="9" t="inlineStr">
        <is>
          <t>8100 G&amp;A - taxes, licenses and fees / Delaware Division of Corporation</t>
        </is>
      </c>
      <c r="C70" s="10" t="n">
        <v>36558.5</v>
      </c>
      <c r="H70" s="36" t="inlineStr">
        <is>
          <t>Timing. Delaware franchise tax invoiced in full at USD 39,882 on 6 Jan and spread over the year it covers by ADJ-2026-01-010; the plan expensed the whole amount in January (Dec run rate USD 7,820 x calendar factor 5.1). Nothing was saved - the release is USD 3,323.50 a month for the next eleven months.</t>
        </is>
      </c>
    </row>
    <row r="71">
      <c r="A71" s="9" t="inlineStr">
        <is>
          <t>7080 S&amp;M - agencies and contractors / Meridian Brand Agency</t>
        </is>
      </c>
      <c r="C71" s="10" t="n">
        <v>-25295.72</v>
      </c>
      <c r="H71" s="36" t="inlineStr">
        <is>
          <t>Accrual artifact. Two charges in one month against one contracted retainer. BILL-202601-6248 posted USD 18,910.80 on 2026-01-22 for 'Creative agency - 2026-01', and ADJ-2026-01-005 (JE-202601-04443) then accrued a further USD 24,800 described as the January creative retainer, on support MBA-26-0114 dated 2026-01-29 that appears in no AP record. Vendor master VEN-0047 is monthly cadence and FY25 spend of USD 216,000 is twelve bills averaging USD 18,000; the ledger shows exactly one bill a month for twenty-two consecutive months. Underlying retainer variance is USD 496 unfavorable, which is run-rate. The accrual is scheduled to reverse in 2026-02.</t>
        </is>
      </c>
    </row>
    <row r="72">
      <c r="A72" s="9" t="inlineStr">
        <is>
          <t>6000 R&amp;D - salaries and wages / (no vendor - internal entry) - hire ti</t>
        </is>
      </c>
      <c r="C72" s="10" t="n">
        <v>23970.35</v>
      </c>
      <c r="H72" s="36" t="inlineStr">
        <is>
          <t>Timing. Farah Coulter started 2026-01-20 (0.3871 FTE month, +10,245) and Bram Pereira 2026-01-26 (0.1935 FTE month, +13,725); both run full months from February</t>
        </is>
      </c>
    </row>
    <row r="73">
      <c r="A73" s="9" t="inlineStr">
        <is>
          <t>6030 R&amp;D - contractors / Thoughtbolt Engineering LLC</t>
        </is>
      </c>
      <c r="C73" s="10" t="n">
        <v>-17221.02</v>
      </c>
      <c r="H73" s="36" t="inlineStr">
        <is>
          <t>Volume-driven. Invoiced hours USD 25,525.50 (in line with the December run rate of USD 24,310) plus a USD 16,200 accrual for January hours on TBE-0126 - the whole overrun is the accrual</t>
        </is>
      </c>
    </row>
    <row r="74">
      <c r="A74" s="9" t="inlineStr">
        <is>
          <t>4020 Professional services revenue / (customer billing)</t>
        </is>
      </c>
      <c r="C74" s="10" t="n">
        <v>4565.35</v>
      </c>
      <c r="H74" s="36" t="inlineStr">
        <is>
          <t>Timing. Milestone delivery landed USD 4,565 ahead of the planned schedule on a line with a coefficient of variation of 0.503. Against the trailing 3-month average of USD 120,458 the month is down USD 23,892, which is calendar, not trend.</t>
        </is>
      </c>
    </row>
    <row r="75">
      <c r="A75" s="9" t="inlineStr">
        <is>
          <t>7060 S&amp;M - software and tools / All other agreements (six vendors)</t>
        </is>
      </c>
      <c r="C75" s="10" t="n">
        <v>3684.07</v>
      </c>
      <c r="H75" s="36" t="inlineStr">
        <is>
          <t>Timing. Every non-Gong agreement in 7060 is favorable by exactly 9.55 percent - Clearscope, HubSpot, Salesforce, Sprout Social, Webflow and ZoomInfo, plus Chorus and Lucid above. A single identical percentage across eight independent contracts is a release-convention artifact, not eight separate savings. It offsets most of the Gong uplift at the account level (7060 total unfavorable only USD 832 against a Gong uplift of USD 6,156), which is exactly how a real cost increase gets hidden in an account subtotal.</t>
        </is>
      </c>
    </row>
    <row r="76">
      <c r="A76" s="9" t="inlineStr">
        <is>
          <t>8050 G&amp;A - software and tools / Okta, Inc.</t>
        </is>
      </c>
      <c r="C76" s="10" t="n">
        <v>3141.29</v>
      </c>
      <c r="H76"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(SWA-0065) is a 12-month term at USD 92,000 with 0 percent uplift and the sole 8050 posting for this vendor is the prepaid release, so ACV/12 is the correct monthly charge. Licenses active 97 of 120. Under-release understates expense now and leaves a prepaid balance that will not extinguish at term end.</t>
        </is>
      </c>
    </row>
    <row r="77">
      <c r="A77" s="9" t="inlineStr">
        <is>
          <t>8050 G&amp;A - software and tools / Slack (Salesforce)</t>
        </is>
      </c>
      <c r="C77" s="10" t="n">
        <v>2663.26</v>
      </c>
      <c r="H77"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(SWA-0069) is a 12-month term at USD 78,000 with 0 percent uplift and the sole 8050 posting for this vendor is the prepaid release, so ACV/12 is the correct monthly charge. Licenses active 143 of 180. Under-release understates expense now and leaves a prepaid balance that will not extinguish at term end.</t>
        </is>
      </c>
    </row>
    <row r="78">
      <c r="A78" s="9" t="inlineStr">
        <is>
          <t>8050 G&amp;A - software and tools / CrowdStrike, Inc.</t>
        </is>
      </c>
      <c r="C78" s="10" t="n">
        <v>2185.24</v>
      </c>
      <c r="H78"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(SWA-0067) is a 12-month term at USD 64,000 with 0 percent uplift and the sole 8050 posting for this vendor is the prepaid release, so ACV/12 is the correct monthly charge. Licenses active not seat-based. Under-release understates expense now and leaves a prepaid balance that will not extinguish at term end.</t>
        </is>
      </c>
    </row>
    <row r="79">
      <c r="A79" s="9" t="inlineStr">
        <is>
          <t>8050 G&amp;A - software and tools / Vanta Inc.</t>
        </is>
      </c>
      <c r="C79" s="10" t="n">
        <v>1297.49</v>
      </c>
      <c r="H79"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(SWA-0064) is a 12-month term at USD 38,000 with 0 percent uplift and the sole 8050 posting for this vendor is the prepaid release, so ACV/12 is the correct monthly charge. Licenses active not seat-based. Under-release understates expense now and leaves a prepaid balance that will not extinguish at term end.</t>
        </is>
      </c>
    </row>
    <row r="80">
      <c r="A80" s="9" t="inlineStr">
        <is>
          <t>8050 G&amp;A - software and tools / Zoom Communications</t>
        </is>
      </c>
      <c r="C80" s="10" t="n">
        <v>1160.91</v>
      </c>
      <c r="H80"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(SWA-0071) is a 12-month term at USD 34,000 with 0 percent uplift and the sole 8050 posting for this vendor is the prepaid release, so ACV/12 is the correct monthly charge. Licenses active 31 of 45. Under-release understates expense now and leaves a prepaid balance that will not extinguish at term end.</t>
        </is>
      </c>
    </row>
    <row r="81">
      <c r="A81" s="9" t="inlineStr">
        <is>
          <t>8050 G&amp;A - software and tools / Notion Labs, Inc.</t>
        </is>
      </c>
      <c r="C81" s="10" t="n">
        <v>1058.47</v>
      </c>
      <c r="H81"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(SWA-0068) is a 12-month term at USD 31,000 with 0 percent uplift and the sole 8050 posting for this vendor is the prepaid release, so ACV/12 is the correct monthly charge. Licenses active 51 of 60. Under-release understates expense now and leaves a prepaid balance that will not extinguish at term end.</t>
        </is>
      </c>
    </row>
    <row r="82">
      <c r="A82" s="9" t="inlineStr">
        <is>
          <t>8050 G&amp;A - software and tools / 1Password (AgileBits)</t>
        </is>
      </c>
      <c r="C82" s="10" t="n">
        <v>717.03</v>
      </c>
      <c r="H82"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(SWA-0066) is a 12-month term at USD 21,000 with 0 percent uplift and the sole 8050 posting for this vendor is the prepaid release, so ACV/12 is the correct monthly charge. Licenses active not seat-based. Under-release understates expense now and leaves a prepaid balance that will not extinguish at term end.</t>
        </is>
      </c>
    </row>
    <row r="83">
      <c r="A83" s="9" t="inlineStr">
        <is>
          <t>7050 S&amp;M - events and conferences / Freeman, Goldcast, Informa</t>
        </is>
      </c>
      <c r="C83" s="10" t="n">
        <v>672</v>
      </c>
      <c r="H83" s="36" t="inlineStr">
        <is>
          <t>Timing. Calendar-driven, not a trend. The plan itself ramps across Q1 (Jan USD 8,400, Feb USD 11,760, Mar USD 26,880) because the named event calendar puts the Q1 event in March. Trailing three-month average of USD 21,467 is inflated by Q4-2025 events; the trend file flags the line bumpy (CoV 0.83) and says so. January is on the calendar and on plan.</t>
        </is>
      </c>
    </row>
    <row r="84">
      <c r="A84" s="9" t="inlineStr">
        <is>
          <t>8050 G&amp;A - software and tools / BILL Operations, LLC</t>
        </is>
      </c>
      <c r="C84" s="10" t="n">
        <v>614.6</v>
      </c>
      <c r="H84" s="36" t="inlineStr">
        <is>
          <t>Accrual artifact. Not a saving. Every one of the eight prepaid-released G&amp;A subscriptions is favorable by exactly 40.97 percent - the release is 59.03 percent of contracted ACV/12 on all eight, to five decimal places. One common factor, so one common cause: the prepaid amortization schedule is releasing below the contracted rate. The agreement (SWA-0074) is a 12-month term at USD 18,000 with 0 percent uplift and the sole 8050 posting for this vendor is the prepaid release, so ACV/12 is the correct monthly charge. Licenses active 98 of 140. Under-release understates expense now and leaves a prepaid balance that will not extinguish at term end.</t>
        </is>
      </c>
    </row>
  </sheetData>
  <mergeCells count="1">
    <mergeCell ref="A66:I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16" customWidth="1" min="1" max="1"/>
    <col width="54" customWidth="1" min="2" max="2"/>
    <col width="16" customWidth="1" min="3" max="3"/>
    <col width="20" customWidth="1" min="4" max="4"/>
    <col width="3" customWidth="1" min="5" max="5"/>
    <col width="74" customWidth="1" min="6" max="6"/>
  </cols>
  <sheetData>
    <row r="1">
      <c r="A1" s="1" t="inlineStr">
        <is>
          <t>What the close found, and what it left open</t>
        </is>
      </c>
    </row>
    <row r="2">
      <c r="A2" s="2" t="inlineStr">
        <is>
          <t>January closed with ten adjustments posted, six items carried and one finding raised after sign-off.</t>
        </is>
      </c>
    </row>
    <row r="3">
      <c r="A3" s="3" t="inlineStr">
        <is>
          <t>A pack that reports the result and not the book that produced it is the format precedent this one is trying not to repeat.</t>
        </is>
      </c>
    </row>
    <row r="5">
      <c r="A5" s="19" t="inlineStr">
        <is>
          <t>CLOSE CHECKLIST</t>
        </is>
      </c>
      <c r="B5" s="19" t="n"/>
      <c r="C5" s="19" t="n"/>
      <c r="D5" s="19" t="n"/>
      <c r="E5" s="19" t="n"/>
      <c r="F5" s="19" t="n"/>
    </row>
    <row r="6" ht="24" customHeight="1">
      <c r="A6" s="5" t="inlineStr">
        <is>
          <t>Step</t>
        </is>
      </c>
      <c r="B6" s="5" t="inlineStr">
        <is>
          <t>Task</t>
        </is>
      </c>
      <c r="C6" s="5" t="inlineStr">
        <is>
          <t>Status</t>
        </is>
      </c>
      <c r="D6" s="5" t="inlineStr">
        <is>
          <t>Owner</t>
        </is>
      </c>
      <c r="E6" s="4" t="inlineStr"/>
      <c r="F6" s="5" t="inlineStr">
        <is>
          <t>Exception</t>
        </is>
      </c>
    </row>
    <row r="7">
      <c r="A7" s="9" t="inlineStr">
        <is>
          <t>CL-11</t>
        </is>
      </c>
      <c r="B7" s="9" t="inlineStr">
        <is>
          <t>AP - reverse prior period accruals</t>
        </is>
      </c>
      <c r="C7" s="9" t="inlineStr">
        <is>
          <t>Complete</t>
        </is>
      </c>
      <c r="D7" s="9" t="inlineStr">
        <is>
          <t>S. Patel</t>
        </is>
      </c>
      <c r="F7" s="26" t="inlineStr">
        <is>
          <t>One 2025-12 accrual was left standing; reversed on ADJ-2026-01-001</t>
        </is>
      </c>
    </row>
    <row r="8">
      <c r="A8" s="9" t="inlineStr">
        <is>
          <t>CL-16</t>
        </is>
      </c>
      <c r="B8" s="9" t="inlineStr">
        <is>
          <t>Payroll - commission accrual</t>
        </is>
      </c>
      <c r="C8" s="9" t="inlineStr">
        <is>
          <t>Complete</t>
        </is>
      </c>
      <c r="D8" s="9" t="inlineStr">
        <is>
          <t>K. Sandoval</t>
        </is>
      </c>
      <c r="F8" s="26" t="inlineStr">
        <is>
          <t>Accelerators quantified and carried as an open item; no January P&amp;L effect</t>
        </is>
      </c>
    </row>
    <row r="9">
      <c r="A9" s="9" t="inlineStr">
        <is>
          <t>CL-18</t>
        </is>
      </c>
      <c r="B9" s="9" t="inlineStr">
        <is>
          <t>Cost of revenue - infrastructure accruals</t>
        </is>
      </c>
      <c r="C9" s="9" t="inlineStr">
        <is>
          <t>Complete</t>
        </is>
      </c>
      <c r="D9" s="9" t="inlineStr">
        <is>
          <t>S. Patel</t>
        </is>
      </c>
      <c r="F9" s="26" t="inlineStr">
        <is>
          <t>AWS accrual restored (ADJ-002); training capacity reclassified (ADJ-003)</t>
        </is>
      </c>
    </row>
    <row r="10">
      <c r="A10" s="9" t="inlineStr">
        <is>
          <t>CL-19</t>
        </is>
      </c>
      <c r="B10" s="9" t="inlineStr">
        <is>
          <t>Prepaid schedule</t>
        </is>
      </c>
      <c r="C10" s="9" t="inlineStr">
        <is>
          <t>Complete</t>
        </is>
      </c>
      <c r="D10" s="9" t="inlineStr">
        <is>
          <t>S. Patel</t>
        </is>
      </c>
      <c r="F10" s="26" t="inlineStr">
        <is>
          <t>Gong release stepped to the renewed rate (ADJ-009); franchise tax spread (ADJ-010)</t>
        </is>
      </c>
    </row>
    <row r="11">
      <c r="A11" s="9" t="inlineStr">
        <is>
          <t>CL-21</t>
        </is>
      </c>
      <c r="B11" s="9" t="inlineStr">
        <is>
          <t>Capitalised software - stage review</t>
        </is>
      </c>
      <c r="C11" s="9" t="inlineStr">
        <is>
          <t>Complete</t>
        </is>
      </c>
      <c r="D11" s="9" t="inlineStr">
        <is>
          <t>M. Halloran</t>
        </is>
      </c>
      <c r="F11" s="26" t="inlineStr">
        <is>
          <t>Stage review performed; two findings carried to the open items list</t>
        </is>
      </c>
    </row>
    <row r="12">
      <c r="A12" s="9" t="inlineStr">
        <is>
          <t>CL-26</t>
        </is>
      </c>
      <c r="B12" s="9" t="inlineStr">
        <is>
          <t>FX revaluation</t>
        </is>
      </c>
      <c r="C12" s="9" t="inlineStr">
        <is>
          <t>Complete</t>
        </is>
      </c>
      <c r="D12" s="9" t="inlineStr">
        <is>
          <t>S. Patel</t>
        </is>
      </c>
      <c r="F12" s="26" t="inlineStr">
        <is>
          <t>Intercompany exposure quantified and carried; revaluation policy amended</t>
        </is>
      </c>
    </row>
    <row r="13">
      <c r="A13" s="9" t="inlineStr">
        <is>
          <t>CL-27</t>
        </is>
      </c>
      <c r="B13" s="9" t="inlineStr">
        <is>
          <t>Bank reconciliation</t>
        </is>
      </c>
      <c r="C13" s="9" t="inlineStr">
        <is>
          <t>Complete</t>
        </is>
      </c>
      <c r="D13" s="9" t="inlineStr">
        <is>
          <t>T. Byrne</t>
        </is>
      </c>
      <c r="F13" s="26" t="inlineStr">
        <is>
          <t>Difference identified against bank advice MERC-FEB-01 and written off</t>
        </is>
      </c>
    </row>
    <row r="14">
      <c r="A14" s="9" t="inlineStr">
        <is>
          <t>CL-28</t>
        </is>
      </c>
      <c r="B14" s="9" t="inlineStr">
        <is>
          <t>Sales and indirect tax</t>
        </is>
      </c>
      <c r="C14" s="9" t="inlineStr">
        <is>
          <t>Complete</t>
        </is>
      </c>
      <c r="D14" s="9" t="inlineStr">
        <is>
          <t>Armanino LLP</t>
        </is>
      </c>
      <c r="F14" s="26" t="inlineStr">
        <is>
          <t>Nexus study commissioned; exposure quantified and disclosed</t>
        </is>
      </c>
    </row>
    <row r="15">
      <c r="A15" s="9" t="inlineStr">
        <is>
          <t>CL-30</t>
        </is>
      </c>
      <c r="B15" s="9" t="inlineStr">
        <is>
          <t>Balance sheet reconciliations</t>
        </is>
      </c>
      <c r="C15" s="9" t="inlineStr">
        <is>
          <t>Complete</t>
        </is>
      </c>
      <c r="D15" s="9" t="inlineStr">
        <is>
          <t>M. Halloran</t>
        </is>
      </c>
      <c r="F15" s="26" t="inlineStr">
        <is>
          <t>All 31 balance sheet accounts reconciled</t>
        </is>
      </c>
    </row>
    <row r="16">
      <c r="A16" s="9" t="inlineStr">
        <is>
          <t>CL-31</t>
        </is>
      </c>
      <c r="B16" s="9" t="inlineStr">
        <is>
          <t>Flux analysis</t>
        </is>
      </c>
      <c r="C16" s="9" t="inlineStr">
        <is>
          <t>Complete</t>
        </is>
      </c>
      <c r="D16" s="9" t="inlineStr">
        <is>
          <t>J. Reyes</t>
        </is>
      </c>
      <c r="F16" s="26" t="inlineStr">
        <is>
          <t>Flux analysis complete; see 03-actuals/FY2026/</t>
        </is>
      </c>
    </row>
    <row r="17">
      <c r="A17" s="9" t="inlineStr">
        <is>
          <t>CL-33</t>
        </is>
      </c>
      <c r="B17" s="9" t="inlineStr">
        <is>
          <t>Subsequent events review</t>
        </is>
      </c>
      <c r="C17" s="9" t="inlineStr">
        <is>
          <t>Complete</t>
        </is>
      </c>
      <c r="D17" s="9" t="inlineStr">
        <is>
          <t>M. Halloran</t>
        </is>
      </c>
      <c r="F17" s="26" t="inlineStr">
        <is>
          <t>Post-close inbox cleared; four invoices accrued, one credit memo carried</t>
        </is>
      </c>
    </row>
    <row r="19">
      <c r="A19" s="16" t="inlineStr">
        <is>
          <t>34 of 34 steps complete. Only steps carrying an exception are listed above.</t>
        </is>
      </c>
    </row>
    <row r="21">
      <c r="A21" s="19" t="inlineStr">
        <is>
          <t>OPEN ITEMS CARRIED OUT OF THE CLOSE</t>
        </is>
      </c>
      <c r="B21" s="19" t="n"/>
      <c r="C21" s="19" t="n"/>
      <c r="D21" s="19" t="n"/>
      <c r="E21" s="19" t="n"/>
      <c r="F21" s="19" t="n"/>
    </row>
    <row r="22">
      <c r="A22" s="9" t="inlineStr">
        <is>
          <t>Six items, carried knowingly and accepted at sign-off. Each names what it is, who owns it, and what</t>
        </is>
      </c>
    </row>
    <row r="23">
      <c r="A23" s="9" t="inlineStr">
        <is>
          <t>happens if it is not resolved.</t>
        </is>
      </c>
    </row>
    <row r="24">
      <c r="A24" s="35" t="inlineStr">
        <is>
          <t>Ref</t>
        </is>
      </c>
      <c r="B24" s="36" t="inlineStr">
        <is>
          <t>Item</t>
        </is>
      </c>
      <c r="C24" s="35" t="inlineStr">
        <is>
          <t>Owner</t>
        </is>
      </c>
      <c r="D24" s="35" t="inlineStr">
        <is>
          <t>Due</t>
        </is>
      </c>
      <c r="F24" s="36" t="inlineStr">
        <is>
          <t>If not resolved</t>
        </is>
      </c>
    </row>
    <row r="25">
      <c r="A25" s="35" t="inlineStr">
        <is>
          <t>OI-01</t>
        </is>
      </c>
      <c r="B25" s="36" t="inlineStr">
        <is>
          <t>Sales tax nexus study. No sales tax has been charged on any invoice since inception. NY, TX, WA, AZ, UT, OH and PA all treat SaaS as taxable and the company invoices customers in all of them. Exposure quantified during the close.</t>
        </is>
      </c>
      <c r="C25" s="35" t="inlineStr">
        <is>
          <t>VP Finance with Avalara</t>
        </is>
      </c>
      <c r="D25" s="35" t="inlineStr">
        <is>
          <t>2026-03-31</t>
        </is>
      </c>
      <c r="F25" s="36" t="inlineStr">
        <is>
          <t>An accreting liability plus penalties and interest, surfacing in the next diligence</t>
        </is>
      </c>
    </row>
    <row r="26">
      <c r="A26" s="35" t="inlineStr">
        <is>
          <t>OI-02</t>
        </is>
      </c>
      <c r="B26" s="36" t="inlineStr">
        <is>
          <t>Capitalized software stage review. Performed during this close for the first time. One project is carried at preliminary project stage and has been capitalized since June; another was charged for three months after it went live. Both are expense, not asset.</t>
        </is>
      </c>
      <c r="C26" s="35" t="inlineStr">
        <is>
          <t>Controller with VP Engineering</t>
        </is>
      </c>
      <c r="D26" s="35" t="inlineStr">
        <is>
          <t>2026-02-28</t>
        </is>
      </c>
      <c r="F26" s="36" t="inlineStr">
        <is>
          <t>R&amp;D and cost of revenue both misstated, in opposite directions, and growing</t>
        </is>
      </c>
    </row>
    <row r="27">
      <c r="A27" s="35" t="inlineStr">
        <is>
          <t>OI-03</t>
        </is>
      </c>
      <c r="B27" s="36" t="inlineStr">
        <is>
          <t>Commission accelerator treatment. Q4-2025 accelerators are in the plan calculation and not in the accrual. No January P&amp;L effect - commissions are capitalized under ASC 340-40 - but accrued commissions is understated and the cash goes out in February.</t>
        </is>
      </c>
      <c r="C27" s="35" t="inlineStr">
        <is>
          <t>Dir. RevOps with VP Finance</t>
        </is>
      </c>
      <c r="D27" s="35" t="inlineStr">
        <is>
          <t>2026-02-20</t>
        </is>
      </c>
      <c r="F27" s="36" t="inlineStr">
        <is>
          <t>The February payout exceeds the accrual and the difference lands as a variance nobody planned</t>
        </is>
      </c>
    </row>
    <row r="28">
      <c r="A28" s="35" t="inlineStr">
        <is>
          <t>OI-04</t>
        </is>
      </c>
      <c r="B28" s="36" t="inlineStr">
        <is>
          <t>Bonus attainment. FY2025 was accrued at 100% of target throughout. The compensation committee assessed a company multiplier on 22 January. The over-accrual is a prior-period item.</t>
        </is>
      </c>
      <c r="C28" s="35" t="inlineStr">
        <is>
          <t>Head of People with VP Finance</t>
        </is>
      </c>
      <c r="D28" s="35" t="inlineStr">
        <is>
          <t>2026-02-15</t>
        </is>
      </c>
      <c r="F28" s="36" t="inlineStr">
        <is>
          <t>FY2025 opex overstated and the FY2026 accrual starts from the wrong base</t>
        </is>
      </c>
    </row>
    <row r="29">
      <c r="A29" s="35" t="inlineStr">
        <is>
          <t>OI-05</t>
        </is>
      </c>
      <c r="B29" s="36" t="inlineStr">
        <is>
          <t>Intercompany FX. The ARC-UK balance was not revalued between September and January. Quantified at close. The revaluation policy is amended; the catch-up is a February entry.</t>
        </is>
      </c>
      <c r="C29" s="35" t="inlineStr">
        <is>
          <t>Controller</t>
        </is>
      </c>
      <c r="D29" s="35" t="inlineStr">
        <is>
          <t>2026-02-20</t>
        </is>
      </c>
      <c r="F29" s="36" t="inlineStr">
        <is>
          <t>An unrecorded movement that grows with sterling and eliminates to nil in USD while the exposure does not</t>
        </is>
      </c>
    </row>
    <row r="30">
      <c r="A30" s="35" t="inlineStr">
        <is>
          <t>OI-11</t>
        </is>
      </c>
      <c r="B30" s="36" t="inlineStr">
        <is>
          <t>Duplicate vendor invoice. USD 47,200 paid twice to Datadog for service period 2025-12, identified during this close. It relates to a closed period, so it is recorded and not adjusted.</t>
        </is>
      </c>
      <c r="C30" s="35" t="inlineStr">
        <is>
          <t>Accounting Manager</t>
        </is>
      </c>
      <c r="D30" s="35" t="inlineStr">
        <is>
          <t>2026-02-28</t>
        </is>
      </c>
      <c r="F30" s="36" t="inlineStr">
        <is>
          <t>Recovery gets harder the longer it sits, and the control that let it through is unchanged</t>
        </is>
      </c>
    </row>
    <row r="31">
      <c r="A31" s="40" t="inlineStr">
        <is>
          <t>Cleared during this close, recorded here so the next reader can see the change</t>
        </is>
      </c>
    </row>
    <row r="32">
      <c r="A32" s="35" t="inlineStr">
        <is>
          <t>Ref</t>
        </is>
      </c>
      <c r="B32" s="36" t="inlineStr">
        <is>
          <t>Item</t>
        </is>
      </c>
      <c r="C32" s="35" t="inlineStr">
        <is>
          <t>How it cleared</t>
        </is>
      </c>
    </row>
    <row r="33">
      <c r="A33" s="35" t="inlineStr">
        <is>
          <t>OI-06</t>
        </is>
      </c>
      <c r="B33" s="36" t="inlineStr">
        <is>
          <t>Bank reconciliation difference of USD 18,400, three months old</t>
        </is>
      </c>
      <c r="C33" s="35" t="inlineStr">
        <is>
          <t>Identified against bank advice MERC-FEB-01 as a real debit and written off. A difference persisting across three periods now escalates</t>
        </is>
      </c>
    </row>
    <row r="34">
      <c r="A34" s="35" t="inlineStr">
        <is>
          <t>OI-07</t>
        </is>
      </c>
      <c r="B34" s="36" t="inlineStr">
        <is>
          <t>Non-current deferred revenue. No amount had ever been classified as non-current</t>
        </is>
      </c>
      <c r="C34" s="35" t="inlineStr">
        <is>
          <t>The multi-year prepayment billed in December is reclassified in February; the split rule is now on the revenue recognition checklist</t>
        </is>
      </c>
    </row>
    <row r="35">
      <c r="A35" s="35" t="inlineStr">
        <is>
          <t>OI-09</t>
        </is>
      </c>
      <c r="B35" s="36" t="inlineStr">
        <is>
          <t>Renewal calendar. No contractual notice deadline, customer or vendor, was tracked anywhere</t>
        </is>
      </c>
      <c r="C35" s="35" t="inlineStr">
        <is>
          <t>Notice deadlines are now computed on both the customer agreement file and the software agreement file. The Gong renewal is what made the case</t>
        </is>
      </c>
    </row>
  </sheetData>
  <mergeCells count="3">
    <mergeCell ref="A19:F19"/>
    <mergeCell ref="A22:F22"/>
    <mergeCell ref="A23:F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2026-08-28T21:13:37Z</dcterms:created>
  <dcterms:modified xmlns:dcterms="http://purl.org/dc/terms/" xmlns:xsi="http://www.w3.org/2001/XMLSchema-instance" xsi:type="dcterms:W3CDTF">2026-08-28T21:13:37Z</dcterms:modified>
</cp:coreProperties>
</file>